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My _projects\"/>
    </mc:Choice>
  </mc:AlternateContent>
  <xr:revisionPtr revIDLastSave="0" documentId="8_{6126D415-0F45-40F9-8480-A1256BE7F2B9}" xr6:coauthVersionLast="47" xr6:coauthVersionMax="47" xr10:uidLastSave="{00000000-0000-0000-0000-000000000000}"/>
  <bookViews>
    <workbookView xWindow="-108" yWindow="-108" windowWidth="23256" windowHeight="12456" activeTab="1" xr2:uid="{0B5C6EA3-6753-404D-B33E-04C5386CED14}"/>
  </bookViews>
  <sheets>
    <sheet name="Dashboard" sheetId="2" r:id="rId1"/>
    <sheet name="Financials" sheetId="1" r:id="rId2"/>
  </sheets>
  <definedNames>
    <definedName name="Slicer_MonthName">#N/A</definedName>
    <definedName name="Slicer_Year">#N/A</definedName>
  </definedNames>
  <calcPr calcId="0"/>
  <pivotCaches>
    <pivotCache cacheId="7"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T10" i="1" l="1"/>
  <c r="S10" i="1"/>
  <c r="R10"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alcChain>
</file>

<file path=xl/sharedStrings.xml><?xml version="1.0" encoding="utf-8"?>
<sst xmlns="http://schemas.openxmlformats.org/spreadsheetml/2006/main" count="6669" uniqueCount="1910">
  <si>
    <t>Segment</t>
  </si>
  <si>
    <t>Country</t>
  </si>
  <si>
    <t>Date</t>
  </si>
  <si>
    <t>Year</t>
  </si>
  <si>
    <t>Government</t>
  </si>
  <si>
    <t>Canada</t>
  </si>
  <si>
    <t>Germany</t>
  </si>
  <si>
    <t>Midmarket</t>
  </si>
  <si>
    <t>France</t>
  </si>
  <si>
    <t>Mexico</t>
  </si>
  <si>
    <t>Enterprise</t>
  </si>
  <si>
    <t>Product</t>
  </si>
  <si>
    <t>DiscountBand</t>
  </si>
  <si>
    <t>UnitsSold</t>
  </si>
  <si>
    <t>ManufacturingPrice</t>
  </si>
  <si>
    <t>SalePrice</t>
  </si>
  <si>
    <t>GrossSales</t>
  </si>
  <si>
    <t>Discounts</t>
  </si>
  <si>
    <t>Sales</t>
  </si>
  <si>
    <t>COGS</t>
  </si>
  <si>
    <t>Profit</t>
  </si>
  <si>
    <t>MonthNumber</t>
  </si>
  <si>
    <t>MonthName</t>
  </si>
  <si>
    <t>Carretera</t>
  </si>
  <si>
    <t>None</t>
  </si>
  <si>
    <t>$3.00</t>
  </si>
  <si>
    <t>$32,370.00</t>
  </si>
  <si>
    <t>$-</t>
  </si>
  <si>
    <t>$16,185.00</t>
  </si>
  <si>
    <t>January</t>
  </si>
  <si>
    <t>$26,420.00</t>
  </si>
  <si>
    <t>$13,210.00</t>
  </si>
  <si>
    <t>$32,670.00</t>
  </si>
  <si>
    <t>$21,780.00</t>
  </si>
  <si>
    <t>June</t>
  </si>
  <si>
    <t>$13,320.00</t>
  </si>
  <si>
    <t>$8,880.00</t>
  </si>
  <si>
    <t>$37,050.00</t>
  </si>
  <si>
    <t>$24,700.00</t>
  </si>
  <si>
    <t>$5,29,550.00</t>
  </si>
  <si>
    <t>$3,93,380.00</t>
  </si>
  <si>
    <t>December</t>
  </si>
  <si>
    <t>Montana</t>
  </si>
  <si>
    <t>$5.00</t>
  </si>
  <si>
    <t>$13,815.00</t>
  </si>
  <si>
    <t>$9,210.00</t>
  </si>
  <si>
    <t>March</t>
  </si>
  <si>
    <t>ChannelPartners</t>
  </si>
  <si>
    <t>$30,216.00</t>
  </si>
  <si>
    <t>$7,554.00</t>
  </si>
  <si>
    <t>$37,980.00</t>
  </si>
  <si>
    <t>$18,990.00</t>
  </si>
  <si>
    <t>$18,540.00</t>
  </si>
  <si>
    <t>$4,635.00</t>
  </si>
  <si>
    <t>$3,33,187.50</t>
  </si>
  <si>
    <t>$3,19,860.00</t>
  </si>
  <si>
    <t>July</t>
  </si>
  <si>
    <t>SmallBusiness</t>
  </si>
  <si>
    <t>$2,87,400.00</t>
  </si>
  <si>
    <t>$2,39,500.00</t>
  </si>
  <si>
    <t>August</t>
  </si>
  <si>
    <t>$15,022.00</t>
  </si>
  <si>
    <t>$10,730.00</t>
  </si>
  <si>
    <t>September</t>
  </si>
  <si>
    <t>$43,125.00</t>
  </si>
  <si>
    <t>$41,400.00</t>
  </si>
  <si>
    <t>October</t>
  </si>
  <si>
    <t>UnitedStatesofAmerica</t>
  </si>
  <si>
    <t>$9,225.00</t>
  </si>
  <si>
    <t>$6,150.00</t>
  </si>
  <si>
    <t>Paseo</t>
  </si>
  <si>
    <t>$10.00</t>
  </si>
  <si>
    <t>$5,840.00</t>
  </si>
  <si>
    <t>$2,920.00</t>
  </si>
  <si>
    <t>February</t>
  </si>
  <si>
    <t>$14,610.00</t>
  </si>
  <si>
    <t>$9,740.00</t>
  </si>
  <si>
    <t>$3,52,100.00</t>
  </si>
  <si>
    <t>$2,61,560.00</t>
  </si>
  <si>
    <t>$4,404.00</t>
  </si>
  <si>
    <t>$1,101.00</t>
  </si>
  <si>
    <t>$6,181.00</t>
  </si>
  <si>
    <t>$4,415.00</t>
  </si>
  <si>
    <t>$8,235.00</t>
  </si>
  <si>
    <t>$5,490.00</t>
  </si>
  <si>
    <t>$2,36,400.00</t>
  </si>
  <si>
    <t>$1,97,000.00</t>
  </si>
  <si>
    <t>$37,080.00</t>
  </si>
  <si>
    <t>$24,720.00</t>
  </si>
  <si>
    <t>$12,360.00</t>
  </si>
  <si>
    <t>$8,001.00</t>
  </si>
  <si>
    <t>$5,715.00</t>
  </si>
  <si>
    <t>$6,03,750.00</t>
  </si>
  <si>
    <t>$4,48,500.00</t>
  </si>
  <si>
    <t>November</t>
  </si>
  <si>
    <t>$10,944.00</t>
  </si>
  <si>
    <t>$2,736.00</t>
  </si>
  <si>
    <t>$32,280.00</t>
  </si>
  <si>
    <t>$21,520.00</t>
  </si>
  <si>
    <t>$36,340.00</t>
  </si>
  <si>
    <t>$18,170.00</t>
  </si>
  <si>
    <t>Velo</t>
  </si>
  <si>
    <t>$120.00</t>
  </si>
  <si>
    <t>$10,451.00</t>
  </si>
  <si>
    <t>$7,465.00</t>
  </si>
  <si>
    <t>$2,25,500.00</t>
  </si>
  <si>
    <t>$2,16,480.00</t>
  </si>
  <si>
    <t>$25,932.00</t>
  </si>
  <si>
    <t>$6,483.00</t>
  </si>
  <si>
    <t>$3,52,625.00</t>
  </si>
  <si>
    <t>$3,38,520.00</t>
  </si>
  <si>
    <t>VTT</t>
  </si>
  <si>
    <t>$250.00</t>
  </si>
  <si>
    <t>$6,00,300.00</t>
  </si>
  <si>
    <t>$5,00,250.00</t>
  </si>
  <si>
    <t>$34,056.00</t>
  </si>
  <si>
    <t>$8,514.00</t>
  </si>
  <si>
    <t>April</t>
  </si>
  <si>
    <t>$5,34,450.00</t>
  </si>
  <si>
    <t>$3,97,020.00</t>
  </si>
  <si>
    <t>$6,45,300.00</t>
  </si>
  <si>
    <t>$5,37,750.00</t>
  </si>
  <si>
    <t>Amarilla</t>
  </si>
  <si>
    <t>$260.00</t>
  </si>
  <si>
    <t>$9,62,500.00</t>
  </si>
  <si>
    <t>$7,15,000.00</t>
  </si>
  <si>
    <t>$23,436.00</t>
  </si>
  <si>
    <t>$5,859.00</t>
  </si>
  <si>
    <t>$5,27,437.50</t>
  </si>
  <si>
    <t>$5,06,340.00</t>
  </si>
  <si>
    <t>$1,686.00</t>
  </si>
  <si>
    <t>$11,802.00</t>
  </si>
  <si>
    <t>$8,430.00</t>
  </si>
  <si>
    <t>$25,692.00</t>
  </si>
  <si>
    <t>$6,423.00</t>
  </si>
  <si>
    <t>Low</t>
  </si>
  <si>
    <t>$27,615.00</t>
  </si>
  <si>
    <t>$276.15</t>
  </si>
  <si>
    <t>$19,725.00</t>
  </si>
  <si>
    <t>$34,440.00</t>
  </si>
  <si>
    <t>$344.40</t>
  </si>
  <si>
    <t>$22,960.00</t>
  </si>
  <si>
    <t>$7,210.00</t>
  </si>
  <si>
    <t>$72.10</t>
  </si>
  <si>
    <t>$5,150.00</t>
  </si>
  <si>
    <t>May</t>
  </si>
  <si>
    <t>$4,473.00</t>
  </si>
  <si>
    <t>$44.73</t>
  </si>
  <si>
    <t>$3,195.00</t>
  </si>
  <si>
    <t>$9,282.00</t>
  </si>
  <si>
    <t>$92.82</t>
  </si>
  <si>
    <t>$6,630.00</t>
  </si>
  <si>
    <t>$22,296.00</t>
  </si>
  <si>
    <t>$222.96</t>
  </si>
  <si>
    <t>$5,574.00</t>
  </si>
  <si>
    <t>$4,23,500.00</t>
  </si>
  <si>
    <t>$4,235.00</t>
  </si>
  <si>
    <t>$3,14,600.00</t>
  </si>
  <si>
    <t>$17,703.00</t>
  </si>
  <si>
    <t>$177.03</t>
  </si>
  <si>
    <t>$12,645.00</t>
  </si>
  <si>
    <t>$17,340.00</t>
  </si>
  <si>
    <t>$173.40</t>
  </si>
  <si>
    <t>$4,335.00</t>
  </si>
  <si>
    <t>$41,250.00</t>
  </si>
  <si>
    <t>$412.50</t>
  </si>
  <si>
    <t>$39,600.00</t>
  </si>
  <si>
    <t>$32,052.00</t>
  </si>
  <si>
    <t>$320.52</t>
  </si>
  <si>
    <t>$8,013.00</t>
  </si>
  <si>
    <t>$9,192.00</t>
  </si>
  <si>
    <t>$91.92</t>
  </si>
  <si>
    <t>$2,298.00</t>
  </si>
  <si>
    <t>$1,48,200.00</t>
  </si>
  <si>
    <t>$1,482.00</t>
  </si>
  <si>
    <t>$1,23,500.00</t>
  </si>
  <si>
    <t>$4,88,950.00</t>
  </si>
  <si>
    <t>$4,889.50</t>
  </si>
  <si>
    <t>$3,63,220.00</t>
  </si>
  <si>
    <t>$7,54,250.00</t>
  </si>
  <si>
    <t>$7,542.50</t>
  </si>
  <si>
    <t>$5,60,300.00</t>
  </si>
  <si>
    <t>$33,210.00</t>
  </si>
  <si>
    <t>$332.10</t>
  </si>
  <si>
    <t>$22,140.00</t>
  </si>
  <si>
    <t>$6,90,300.00</t>
  </si>
  <si>
    <t>$6,903.00</t>
  </si>
  <si>
    <t>$5,75,250.00</t>
  </si>
  <si>
    <t>$27,510.00</t>
  </si>
  <si>
    <t>$275.10</t>
  </si>
  <si>
    <t>$13,755.00</t>
  </si>
  <si>
    <t>$12,810.00</t>
  </si>
  <si>
    <t>$128.10</t>
  </si>
  <si>
    <t>$9,150.00</t>
  </si>
  <si>
    <t>$7,49,400.00</t>
  </si>
  <si>
    <t>$7,494.00</t>
  </si>
  <si>
    <t>$6,24,500.00</t>
  </si>
  <si>
    <t>$82,875.00</t>
  </si>
  <si>
    <t>$828.75</t>
  </si>
  <si>
    <t>$79,560.00</t>
  </si>
  <si>
    <t>$22,710.00</t>
  </si>
  <si>
    <t>$227.10</t>
  </si>
  <si>
    <t>$15,140.00</t>
  </si>
  <si>
    <t>$31,447.50</t>
  </si>
  <si>
    <t>$314.48</t>
  </si>
  <si>
    <t>$22,462.50</t>
  </si>
  <si>
    <t>$90,875.00</t>
  </si>
  <si>
    <t>$908.75</t>
  </si>
  <si>
    <t>$87,240.00</t>
  </si>
  <si>
    <t>$98,375.00</t>
  </si>
  <si>
    <t>$983.75</t>
  </si>
  <si>
    <t>$94,440.00</t>
  </si>
  <si>
    <t>$2,27,875.00</t>
  </si>
  <si>
    <t>$2,278.75</t>
  </si>
  <si>
    <t>$2,18,760.00</t>
  </si>
  <si>
    <t>$11,205.00</t>
  </si>
  <si>
    <t>$112.05</t>
  </si>
  <si>
    <t>$7,470.00</t>
  </si>
  <si>
    <t>$8,71,500.00</t>
  </si>
  <si>
    <t>$8,715.00</t>
  </si>
  <si>
    <t>$7,26,250.00</t>
  </si>
  <si>
    <t>$77,280.00</t>
  </si>
  <si>
    <t>$772.80</t>
  </si>
  <si>
    <t>$38,640.00</t>
  </si>
  <si>
    <t>$2,534.00</t>
  </si>
  <si>
    <t>$25.34</t>
  </si>
  <si>
    <t>$1,810.00</t>
  </si>
  <si>
    <t>$1,15,375.00</t>
  </si>
  <si>
    <t>$1,153.75</t>
  </si>
  <si>
    <t>$1,10,760.00</t>
  </si>
  <si>
    <t>$14,644.00</t>
  </si>
  <si>
    <t>$146.44</t>
  </si>
  <si>
    <t>$10,460.00</t>
  </si>
  <si>
    <t>$1,841.00</t>
  </si>
  <si>
    <t>$18.41</t>
  </si>
  <si>
    <t>$1,315.00</t>
  </si>
  <si>
    <t>$3,30,225.00</t>
  </si>
  <si>
    <t>$3,302.25</t>
  </si>
  <si>
    <t>$2,45,310.00</t>
  </si>
  <si>
    <t>$2,95,800.00</t>
  </si>
  <si>
    <t>$2,958.00</t>
  </si>
  <si>
    <t>$2,46,500.00</t>
  </si>
  <si>
    <t>$2,18,000.00</t>
  </si>
  <si>
    <t>$2,180.00</t>
  </si>
  <si>
    <t>$2,09,280.00</t>
  </si>
  <si>
    <t>$23,868.00</t>
  </si>
  <si>
    <t>$238.68</t>
  </si>
  <si>
    <t>$5,967.00</t>
  </si>
  <si>
    <t>$4,815.00</t>
  </si>
  <si>
    <t>$48.15</t>
  </si>
  <si>
    <t>$3,210.00</t>
  </si>
  <si>
    <t>$92,812.50</t>
  </si>
  <si>
    <t>$1,856.25</t>
  </si>
  <si>
    <t>$89,100.00</t>
  </si>
  <si>
    <t>$15,540.00</t>
  </si>
  <si>
    <t>$310.80</t>
  </si>
  <si>
    <t>$3,885.00</t>
  </si>
  <si>
    <t>$64,200.00</t>
  </si>
  <si>
    <t>$1,284.00</t>
  </si>
  <si>
    <t>$53,500.00</t>
  </si>
  <si>
    <t>$15,015.00</t>
  </si>
  <si>
    <t>$300.30</t>
  </si>
  <si>
    <t>$10,725.00</t>
  </si>
  <si>
    <t>$9,98,200.00</t>
  </si>
  <si>
    <t>$19,964.00</t>
  </si>
  <si>
    <t>$7,41,520.00</t>
  </si>
  <si>
    <t>$13,704.00</t>
  </si>
  <si>
    <t>$274.08</t>
  </si>
  <si>
    <t>$3,426.00</t>
  </si>
  <si>
    <t>$31,320.00</t>
  </si>
  <si>
    <t>$626.40</t>
  </si>
  <si>
    <t>$15,660.00</t>
  </si>
  <si>
    <t>$8,280.00</t>
  </si>
  <si>
    <t>$165.60</t>
  </si>
  <si>
    <t>$2,070.00</t>
  </si>
  <si>
    <t>$2,07,500.00</t>
  </si>
  <si>
    <t>$4,150.00</t>
  </si>
  <si>
    <t>$1,99,200.00</t>
  </si>
  <si>
    <t>$35,445.00</t>
  </si>
  <si>
    <t>$708.90</t>
  </si>
  <si>
    <t>$23,630.00</t>
  </si>
  <si>
    <t>$918.00</t>
  </si>
  <si>
    <t>$2,75,400.00</t>
  </si>
  <si>
    <t>$5,508.00</t>
  </si>
  <si>
    <t>$2,29,500.00</t>
  </si>
  <si>
    <t>$5,18,400.00</t>
  </si>
  <si>
    <t>$10,368.00</t>
  </si>
  <si>
    <t>$4,32,000.00</t>
  </si>
  <si>
    <t>$82,750.00</t>
  </si>
  <si>
    <t>$1,655.00</t>
  </si>
  <si>
    <t>$79,440.00</t>
  </si>
  <si>
    <t>$1,01,125.00</t>
  </si>
  <si>
    <t>$2,022.50</t>
  </si>
  <si>
    <t>$97,080.00</t>
  </si>
  <si>
    <t>$2,68,125.00</t>
  </si>
  <si>
    <t>$5,362.50</t>
  </si>
  <si>
    <t>$2,57,400.00</t>
  </si>
  <si>
    <t>$21,420.00</t>
  </si>
  <si>
    <t>$428.40</t>
  </si>
  <si>
    <t>$5,355.00</t>
  </si>
  <si>
    <t>$5,74,800.00</t>
  </si>
  <si>
    <t>$11,496.00</t>
  </si>
  <si>
    <t>$4,79,000.00</t>
  </si>
  <si>
    <t>$3,41,125.00</t>
  </si>
  <si>
    <t>$6,822.50</t>
  </si>
  <si>
    <t>$3,27,480.00</t>
  </si>
  <si>
    <t>$28,875.00</t>
  </si>
  <si>
    <t>$577.50</t>
  </si>
  <si>
    <t>$19,250.00</t>
  </si>
  <si>
    <t>$14,091.00</t>
  </si>
  <si>
    <t>$281.82</t>
  </si>
  <si>
    <t>$10,065.00</t>
  </si>
  <si>
    <t>$12,660.00</t>
  </si>
  <si>
    <t>$253.20</t>
  </si>
  <si>
    <t>$3,165.00</t>
  </si>
  <si>
    <t>$13,008.00</t>
  </si>
  <si>
    <t>$260.16</t>
  </si>
  <si>
    <t>$3,252.00</t>
  </si>
  <si>
    <t>$10,38,100.00</t>
  </si>
  <si>
    <t>$20,762.00</t>
  </si>
  <si>
    <t>$7,71,160.00</t>
  </si>
  <si>
    <t>$10,06,950.00</t>
  </si>
  <si>
    <t>$20,139.00</t>
  </si>
  <si>
    <t>$7,48,020.00</t>
  </si>
  <si>
    <t>$10,880.00</t>
  </si>
  <si>
    <t>$217.60</t>
  </si>
  <si>
    <t>$5,440.00</t>
  </si>
  <si>
    <t>$93,100.00</t>
  </si>
  <si>
    <t>$1,862.00</t>
  </si>
  <si>
    <t>$69,160.00</t>
  </si>
  <si>
    <t>$1,940.00</t>
  </si>
  <si>
    <t>$6,79,000.00</t>
  </si>
  <si>
    <t>$13,580.00</t>
  </si>
  <si>
    <t>$5,04,400.00</t>
  </si>
  <si>
    <t>$77,700.00</t>
  </si>
  <si>
    <t>$1,554.00</t>
  </si>
  <si>
    <t>$64,750.00</t>
  </si>
  <si>
    <t>$3,30,300.00</t>
  </si>
  <si>
    <t>$6,606.00</t>
  </si>
  <si>
    <t>$2,75,250.00</t>
  </si>
  <si>
    <t>$2,84,500.00</t>
  </si>
  <si>
    <t>$5,690.00</t>
  </si>
  <si>
    <t>$2,73,120.00</t>
  </si>
  <si>
    <t>$494.40</t>
  </si>
  <si>
    <t>$18,820.00</t>
  </si>
  <si>
    <t>$376.40</t>
  </si>
  <si>
    <t>$9,410.00</t>
  </si>
  <si>
    <t>$5,30,437.50</t>
  </si>
  <si>
    <t>$15,913.13</t>
  </si>
  <si>
    <t>$5,09,220.00</t>
  </si>
  <si>
    <t>$51,600.00</t>
  </si>
  <si>
    <t>$1,548.00</t>
  </si>
  <si>
    <t>$25,800.00</t>
  </si>
  <si>
    <t>$24,252.00</t>
  </si>
  <si>
    <t>$2,06,700.00</t>
  </si>
  <si>
    <t>$6,201.00</t>
  </si>
  <si>
    <t>$1,72,250.00</t>
  </si>
  <si>
    <t>$23,364.00</t>
  </si>
  <si>
    <t>$700.92</t>
  </si>
  <si>
    <t>$5,841.00</t>
  </si>
  <si>
    <t>$10,896.00</t>
  </si>
  <si>
    <t>$326.88</t>
  </si>
  <si>
    <t>$2,724.00</t>
  </si>
  <si>
    <t>$13,706.00</t>
  </si>
  <si>
    <t>$411.18</t>
  </si>
  <si>
    <t>$9,790.00</t>
  </si>
  <si>
    <t>$22,812.00</t>
  </si>
  <si>
    <t>$684.36</t>
  </si>
  <si>
    <t>$5,703.00</t>
  </si>
  <si>
    <t>$3,808.00</t>
  </si>
  <si>
    <t>$114.24</t>
  </si>
  <si>
    <t>$2,720.00</t>
  </si>
  <si>
    <t>$6,28,950.00</t>
  </si>
  <si>
    <t>$18,868.50</t>
  </si>
  <si>
    <t>$4,67,220.00</t>
  </si>
  <si>
    <t>$1,287.00</t>
  </si>
  <si>
    <t>$1,60,875.00</t>
  </si>
  <si>
    <t>$4,826.25</t>
  </si>
  <si>
    <t>$1,54,440.00</t>
  </si>
  <si>
    <t>$2,13,250.00</t>
  </si>
  <si>
    <t>$6,397.50</t>
  </si>
  <si>
    <t>$2,04,720.00</t>
  </si>
  <si>
    <t>$7,30,350.00</t>
  </si>
  <si>
    <t>$21,910.50</t>
  </si>
  <si>
    <t>$6,08,625.00</t>
  </si>
  <si>
    <t>$2,21,750.00</t>
  </si>
  <si>
    <t>$6,652.50</t>
  </si>
  <si>
    <t>$2,12,880.00</t>
  </si>
  <si>
    <t>$1,96,250.00</t>
  </si>
  <si>
    <t>$5,887.50</t>
  </si>
  <si>
    <t>$1,88,400.00</t>
  </si>
  <si>
    <t>$16,434.00</t>
  </si>
  <si>
    <t>$493.02</t>
  </si>
  <si>
    <t>$4,108.50</t>
  </si>
  <si>
    <t>$2,51,125.00</t>
  </si>
  <si>
    <t>$7,533.75</t>
  </si>
  <si>
    <t>$2,41,080.00</t>
  </si>
  <si>
    <t>$29,175.00</t>
  </si>
  <si>
    <t>$875.25</t>
  </si>
  <si>
    <t>$19,450.00</t>
  </si>
  <si>
    <t>$8,53,200.00</t>
  </si>
  <si>
    <t>$25,596.00</t>
  </si>
  <si>
    <t>$7,11,000.00</t>
  </si>
  <si>
    <t>$22,992.00</t>
  </si>
  <si>
    <t>$689.76</t>
  </si>
  <si>
    <t>$5,748.00</t>
  </si>
  <si>
    <t>$5,62,200.00</t>
  </si>
  <si>
    <t>$16,866.00</t>
  </si>
  <si>
    <t>$4,68,500.00</t>
  </si>
  <si>
    <t>$5,74,700.00</t>
  </si>
  <si>
    <t>$17,241.00</t>
  </si>
  <si>
    <t>$4,26,920.00</t>
  </si>
  <si>
    <t>$16,620.00</t>
  </si>
  <si>
    <t>$498.60</t>
  </si>
  <si>
    <t>$8,310.00</t>
  </si>
  <si>
    <t>$12,320.00</t>
  </si>
  <si>
    <t>$369.60</t>
  </si>
  <si>
    <t>$8,800.00</t>
  </si>
  <si>
    <t>$77,010.00</t>
  </si>
  <si>
    <t>$2,310.30</t>
  </si>
  <si>
    <t>$38,505.00</t>
  </si>
  <si>
    <t>$29,748.00</t>
  </si>
  <si>
    <t>$892.44</t>
  </si>
  <si>
    <t>$7,437.00</t>
  </si>
  <si>
    <t>$30,465.00</t>
  </si>
  <si>
    <t>$1,218.60</t>
  </si>
  <si>
    <t>$20,310.00</t>
  </si>
  <si>
    <t>$33,915.00</t>
  </si>
  <si>
    <t>$1,356.60</t>
  </si>
  <si>
    <t>$22,610.00</t>
  </si>
  <si>
    <t>$14,720.00</t>
  </si>
  <si>
    <t>$588.80</t>
  </si>
  <si>
    <t>$7,360.00</t>
  </si>
  <si>
    <t>$19,957.00</t>
  </si>
  <si>
    <t>$798.28</t>
  </si>
  <si>
    <t>$14,255.00</t>
  </si>
  <si>
    <t>$6,06,300.00</t>
  </si>
  <si>
    <t>$5,05,250.00</t>
  </si>
  <si>
    <t>$95,900.00</t>
  </si>
  <si>
    <t>$3,836.00</t>
  </si>
  <si>
    <t>$71,240.00</t>
  </si>
  <si>
    <t>$29,505.00</t>
  </si>
  <si>
    <t>$1,180.20</t>
  </si>
  <si>
    <t>$19,670.00</t>
  </si>
  <si>
    <t>$5,57,700.00</t>
  </si>
  <si>
    <t>$22,308.00</t>
  </si>
  <si>
    <t>$4,64,750.00</t>
  </si>
  <si>
    <t>$1,42,250.00</t>
  </si>
  <si>
    <t>$1,36,560.00</t>
  </si>
  <si>
    <t>$29,757.00</t>
  </si>
  <si>
    <t>$1,190.28</t>
  </si>
  <si>
    <t>$21,255.00</t>
  </si>
  <si>
    <t>$99,375.00</t>
  </si>
  <si>
    <t>$3,975.00</t>
  </si>
  <si>
    <t>$95,400.00</t>
  </si>
  <si>
    <t>$4,24,350.00</t>
  </si>
  <si>
    <t>$16,974.00</t>
  </si>
  <si>
    <t>$3,53,625.00</t>
  </si>
  <si>
    <t>$8,75,400.00</t>
  </si>
  <si>
    <t>$35,016.00</t>
  </si>
  <si>
    <t>$7,29,500.00</t>
  </si>
  <si>
    <t>$12,07,500.00</t>
  </si>
  <si>
    <t>$48,300.00</t>
  </si>
  <si>
    <t>$8,97,000.00</t>
  </si>
  <si>
    <t>$3,73,500.00</t>
  </si>
  <si>
    <t>$14,940.00</t>
  </si>
  <si>
    <t>$3,58,560.00</t>
  </si>
  <si>
    <t>$3,270.00</t>
  </si>
  <si>
    <t>$130.80</t>
  </si>
  <si>
    <t>$41,480.00</t>
  </si>
  <si>
    <t>$1,659.20</t>
  </si>
  <si>
    <t>$20,740.00</t>
  </si>
  <si>
    <t>$21,120.00</t>
  </si>
  <si>
    <t>$844.80</t>
  </si>
  <si>
    <t>$10,560.00</t>
  </si>
  <si>
    <t>$402.60</t>
  </si>
  <si>
    <t>$6,710.00</t>
  </si>
  <si>
    <t>$908.40</t>
  </si>
  <si>
    <t>$1,465.00</t>
  </si>
  <si>
    <t>$17,580.00</t>
  </si>
  <si>
    <t>$703.20</t>
  </si>
  <si>
    <t>$4,395.00</t>
  </si>
  <si>
    <t>$52,920.00</t>
  </si>
  <si>
    <t>$2,116.80</t>
  </si>
  <si>
    <t>$26,460.00</t>
  </si>
  <si>
    <t>$7,61,950.00</t>
  </si>
  <si>
    <t>$30,478.00</t>
  </si>
  <si>
    <t>$5,66,020.00</t>
  </si>
  <si>
    <t>$10,392.00</t>
  </si>
  <si>
    <t>$415.68</t>
  </si>
  <si>
    <t>$2,598.00</t>
  </si>
  <si>
    <t>$1,22,150.00</t>
  </si>
  <si>
    <t>$4,886.00</t>
  </si>
  <si>
    <t>$90,740.00</t>
  </si>
  <si>
    <t>$6,52,750.00</t>
  </si>
  <si>
    <t>$26,110.00</t>
  </si>
  <si>
    <t>$4,84,900.00</t>
  </si>
  <si>
    <t>$1,34,250.00</t>
  </si>
  <si>
    <t>$5,370.00</t>
  </si>
  <si>
    <t>$1,28,880.00</t>
  </si>
  <si>
    <t>$6,67,450.00</t>
  </si>
  <si>
    <t>$26,698.00</t>
  </si>
  <si>
    <t>$4,95,820.00</t>
  </si>
  <si>
    <t>$6,22,300.00</t>
  </si>
  <si>
    <t>$24,892.00</t>
  </si>
  <si>
    <t>$4,62,280.00</t>
  </si>
  <si>
    <t>Medium</t>
  </si>
  <si>
    <t>$8,113.00</t>
  </si>
  <si>
    <t>$405.65</t>
  </si>
  <si>
    <t>$5,795.00</t>
  </si>
  <si>
    <t>$9,604.00</t>
  </si>
  <si>
    <t>$480.20</t>
  </si>
  <si>
    <t>$6,860.00</t>
  </si>
  <si>
    <t>$16,443.00</t>
  </si>
  <si>
    <t>$822.15</t>
  </si>
  <si>
    <t>$11,745.00</t>
  </si>
  <si>
    <t>$18,823.00</t>
  </si>
  <si>
    <t>$941.15</t>
  </si>
  <si>
    <t>$13,445.00</t>
  </si>
  <si>
    <t>$29,172.00</t>
  </si>
  <si>
    <t>$1,458.60</t>
  </si>
  <si>
    <t>$7,293.00</t>
  </si>
  <si>
    <t>$11,781.00</t>
  </si>
  <si>
    <t>$589.05</t>
  </si>
  <si>
    <t>$8,415.00</t>
  </si>
  <si>
    <t>$13,476.00</t>
  </si>
  <si>
    <t>$673.80</t>
  </si>
  <si>
    <t>$3,369.00</t>
  </si>
  <si>
    <t>$22,380.00</t>
  </si>
  <si>
    <t>$1,119.00</t>
  </si>
  <si>
    <t>$5,595.00</t>
  </si>
  <si>
    <t>$13,392.00</t>
  </si>
  <si>
    <t>$669.60</t>
  </si>
  <si>
    <t>$3,348.00</t>
  </si>
  <si>
    <t>$1,563.00</t>
  </si>
  <si>
    <t>$31,260.00</t>
  </si>
  <si>
    <t>$15,630.00</t>
  </si>
  <si>
    <t>$2,97,300.00</t>
  </si>
  <si>
    <t>$14,865.00</t>
  </si>
  <si>
    <t>$2,47,750.00</t>
  </si>
  <si>
    <t>$7,112.00</t>
  </si>
  <si>
    <t>$355.60</t>
  </si>
  <si>
    <t>$5,080.00</t>
  </si>
  <si>
    <t>$41,865.00</t>
  </si>
  <si>
    <t>$2,093.25</t>
  </si>
  <si>
    <t>$27,910.00</t>
  </si>
  <si>
    <t>$3,990.00</t>
  </si>
  <si>
    <t>$199.50</t>
  </si>
  <si>
    <t>$2,850.00</t>
  </si>
  <si>
    <t>$17,409.00</t>
  </si>
  <si>
    <t>$870.45</t>
  </si>
  <si>
    <t>$12,435.00</t>
  </si>
  <si>
    <t>$4,84,575.00</t>
  </si>
  <si>
    <t>$24,228.75</t>
  </si>
  <si>
    <t>$3,59,970.00</t>
  </si>
  <si>
    <t>$4,53,375.00</t>
  </si>
  <si>
    <t>$22,668.75</t>
  </si>
  <si>
    <t>$4,35,240.00</t>
  </si>
  <si>
    <t>$2,52,000.00</t>
  </si>
  <si>
    <t>$12,600.00</t>
  </si>
  <si>
    <t>$1,87,200.00</t>
  </si>
  <si>
    <t>$28,104.00</t>
  </si>
  <si>
    <t>$1,405.20</t>
  </si>
  <si>
    <t>$7,026.00</t>
  </si>
  <si>
    <t>$3,30,000.00</t>
  </si>
  <si>
    <t>$16,500.00</t>
  </si>
  <si>
    <t>$2,75,000.00</t>
  </si>
  <si>
    <t>$1,303.00</t>
  </si>
  <si>
    <t>$26,060.00</t>
  </si>
  <si>
    <t>$13,030.00</t>
  </si>
  <si>
    <t>$3,74,000.00</t>
  </si>
  <si>
    <t>$18,700.00</t>
  </si>
  <si>
    <t>$3,59,040.00</t>
  </si>
  <si>
    <t>$2,98,125.00</t>
  </si>
  <si>
    <t>$14,906.25</t>
  </si>
  <si>
    <t>$2,86,200.00</t>
  </si>
  <si>
    <t>$4,82,100.00</t>
  </si>
  <si>
    <t>$24,105.00</t>
  </si>
  <si>
    <t>$4,01,750.00</t>
  </si>
  <si>
    <t>$16,289.00</t>
  </si>
  <si>
    <t>$814.45</t>
  </si>
  <si>
    <t>$11,635.00</t>
  </si>
  <si>
    <t>$2,10,700.00</t>
  </si>
  <si>
    <t>$10,535.00</t>
  </si>
  <si>
    <t>$1,56,520.00</t>
  </si>
  <si>
    <t>$39,300.00</t>
  </si>
  <si>
    <t>$1,965.00</t>
  </si>
  <si>
    <t>$26,200.00</t>
  </si>
  <si>
    <t>$4,29,800.00</t>
  </si>
  <si>
    <t>$21,490.00</t>
  </si>
  <si>
    <t>$3,19,280.00</t>
  </si>
  <si>
    <t>$1,389.00</t>
  </si>
  <si>
    <t>$27,780.00</t>
  </si>
  <si>
    <t>$13,890.00</t>
  </si>
  <si>
    <t>$1,07,625.00</t>
  </si>
  <si>
    <t>$5,381.25</t>
  </si>
  <si>
    <t>$1,03,320.00</t>
  </si>
  <si>
    <t>$88,000.00</t>
  </si>
  <si>
    <t>$4,400.00</t>
  </si>
  <si>
    <t>$84,480.00</t>
  </si>
  <si>
    <t>$1,802.00</t>
  </si>
  <si>
    <t>$36,040.00</t>
  </si>
  <si>
    <t>$18,020.00</t>
  </si>
  <si>
    <t>$2,663.00</t>
  </si>
  <si>
    <t>$53,260.00</t>
  </si>
  <si>
    <t>$26,630.00</t>
  </si>
  <si>
    <t>$14,952.00</t>
  </si>
  <si>
    <t>$747.60</t>
  </si>
  <si>
    <t>$10,680.00</t>
  </si>
  <si>
    <t>$31,740.00</t>
  </si>
  <si>
    <t>$1,587.00</t>
  </si>
  <si>
    <t>$21,160.00</t>
  </si>
  <si>
    <t>$8,325.00</t>
  </si>
  <si>
    <t>$416.25</t>
  </si>
  <si>
    <t>$5,550.00</t>
  </si>
  <si>
    <t>$42,915.00</t>
  </si>
  <si>
    <t>$2,145.75</t>
  </si>
  <si>
    <t>$28,610.00</t>
  </si>
  <si>
    <t>$1,00,875.00</t>
  </si>
  <si>
    <t>$5,043.75</t>
  </si>
  <si>
    <t>$96,840.00</t>
  </si>
  <si>
    <t>$2,832.00</t>
  </si>
  <si>
    <t>$56,640.00</t>
  </si>
  <si>
    <t>$28,320.00</t>
  </si>
  <si>
    <t>$1,579.00</t>
  </si>
  <si>
    <t>$31,580.00</t>
  </si>
  <si>
    <t>$15,790.00</t>
  </si>
  <si>
    <t>$1,033.00</t>
  </si>
  <si>
    <t>$20,660.00</t>
  </si>
  <si>
    <t>$10,330.00</t>
  </si>
  <si>
    <t>$3,75,000.00</t>
  </si>
  <si>
    <t>$18,750.00</t>
  </si>
  <si>
    <t>$3,12,500.00</t>
  </si>
  <si>
    <t>$1,265.00</t>
  </si>
  <si>
    <t>$25,300.00</t>
  </si>
  <si>
    <t>$12,650.00</t>
  </si>
  <si>
    <t>$2,297.00</t>
  </si>
  <si>
    <t>$45,940.00</t>
  </si>
  <si>
    <t>$22,970.00</t>
  </si>
  <si>
    <t>$4,72,500.00</t>
  </si>
  <si>
    <t>$23,625.00</t>
  </si>
  <si>
    <t>$3,51,000.00</t>
  </si>
  <si>
    <t>$1,93,200.00</t>
  </si>
  <si>
    <t>$9,660.00</t>
  </si>
  <si>
    <t>$1,43,520.00</t>
  </si>
  <si>
    <t>$57,015.00</t>
  </si>
  <si>
    <t>$3,420.90</t>
  </si>
  <si>
    <t>$38,010.00</t>
  </si>
  <si>
    <t>$22,350.00</t>
  </si>
  <si>
    <t>$1,341.00</t>
  </si>
  <si>
    <t>$11,175.00</t>
  </si>
  <si>
    <t>$42,660.00</t>
  </si>
  <si>
    <t>$2,559.60</t>
  </si>
  <si>
    <t>$28,440.00</t>
  </si>
  <si>
    <t>$6,744.00</t>
  </si>
  <si>
    <t>$404.64</t>
  </si>
  <si>
    <t>$27,588.00</t>
  </si>
  <si>
    <t>$1,655.28</t>
  </si>
  <si>
    <t>$6,897.00</t>
  </si>
  <si>
    <t>$30,450.00</t>
  </si>
  <si>
    <t>$1,827.00</t>
  </si>
  <si>
    <t>$20,300.00</t>
  </si>
  <si>
    <t>$110.46</t>
  </si>
  <si>
    <t>$1,10,875.00</t>
  </si>
  <si>
    <t>$1,06,440.00</t>
  </si>
  <si>
    <t>$3,43,000.00</t>
  </si>
  <si>
    <t>$20,580.00</t>
  </si>
  <si>
    <t>$2,54,800.00</t>
  </si>
  <si>
    <t>$5,11,000.00</t>
  </si>
  <si>
    <t>$30,660.00</t>
  </si>
  <si>
    <t>$3,79,600.00</t>
  </si>
  <si>
    <t>$9,821.00</t>
  </si>
  <si>
    <t>$589.26</t>
  </si>
  <si>
    <t>$7,015.00</t>
  </si>
  <si>
    <t>$32,676.00</t>
  </si>
  <si>
    <t>$1,960.56</t>
  </si>
  <si>
    <t>$8,169.00</t>
  </si>
  <si>
    <t>$5,23,600.00</t>
  </si>
  <si>
    <t>$31,416.00</t>
  </si>
  <si>
    <t>$3,88,960.00</t>
  </si>
  <si>
    <t>$2,54,450.00</t>
  </si>
  <si>
    <t>$15,267.00</t>
  </si>
  <si>
    <t>$1,89,020.00</t>
  </si>
  <si>
    <t>$1,19,000.00</t>
  </si>
  <si>
    <t>$7,140.00</t>
  </si>
  <si>
    <t>$1,14,240.00</t>
  </si>
  <si>
    <t>$3,44,375.00</t>
  </si>
  <si>
    <t>$20,662.50</t>
  </si>
  <si>
    <t>$3,30,600.00</t>
  </si>
  <si>
    <t>$22,950.00</t>
  </si>
  <si>
    <t>$1,377.00</t>
  </si>
  <si>
    <t>$15,300.00</t>
  </si>
  <si>
    <t>$10,486.00</t>
  </si>
  <si>
    <t>$629.16</t>
  </si>
  <si>
    <t>$7,490.00</t>
  </si>
  <si>
    <t>$3,66,300.00</t>
  </si>
  <si>
    <t>$21,978.00</t>
  </si>
  <si>
    <t>$3,05,250.00</t>
  </si>
  <si>
    <t>$7,26,600.00</t>
  </si>
  <si>
    <t>$43,596.00</t>
  </si>
  <si>
    <t>$5,39,760.00</t>
  </si>
  <si>
    <t>$22,460.00</t>
  </si>
  <si>
    <t>$1,347.60</t>
  </si>
  <si>
    <t>$11,230.00</t>
  </si>
  <si>
    <t>$7,30,800.00</t>
  </si>
  <si>
    <t>$43,848.00</t>
  </si>
  <si>
    <t>$6,09,000.00</t>
  </si>
  <si>
    <t>$2,48,437.50</t>
  </si>
  <si>
    <t>$2,38,500.00</t>
  </si>
  <si>
    <t>$5,87,650.00</t>
  </si>
  <si>
    <t>$35,259.00</t>
  </si>
  <si>
    <t>$4,36,540.00</t>
  </si>
  <si>
    <t>$35,140.00</t>
  </si>
  <si>
    <t>$2,108.40</t>
  </si>
  <si>
    <t>$17,570.00</t>
  </si>
  <si>
    <t>$32,970.00</t>
  </si>
  <si>
    <t>$1,978.20</t>
  </si>
  <si>
    <t>$21,980.00</t>
  </si>
  <si>
    <t>$26,145.00</t>
  </si>
  <si>
    <t>$1,568.70</t>
  </si>
  <si>
    <t>$17,430.00</t>
  </si>
  <si>
    <t>$17,295.00</t>
  </si>
  <si>
    <t>$1,037.70</t>
  </si>
  <si>
    <t>$11,530.00</t>
  </si>
  <si>
    <t>$20,020.00</t>
  </si>
  <si>
    <t>$1,201.20</t>
  </si>
  <si>
    <t>$10,010.00</t>
  </si>
  <si>
    <t>$9,331.00</t>
  </si>
  <si>
    <t>$559.86</t>
  </si>
  <si>
    <t>$6,665.00</t>
  </si>
  <si>
    <t>$8,724.00</t>
  </si>
  <si>
    <t>$610.68</t>
  </si>
  <si>
    <t>$2,181.00</t>
  </si>
  <si>
    <t>$22,608.00</t>
  </si>
  <si>
    <t>$1,582.56</t>
  </si>
  <si>
    <t>$5,652.00</t>
  </si>
  <si>
    <t>$36,680.00</t>
  </si>
  <si>
    <t>$2,567.60</t>
  </si>
  <si>
    <t>$18,340.00</t>
  </si>
  <si>
    <t>$28,080.00</t>
  </si>
  <si>
    <t>$1,965.60</t>
  </si>
  <si>
    <t>$7,020.00</t>
  </si>
  <si>
    <t>$1,967.28</t>
  </si>
  <si>
    <t>$7,217.00</t>
  </si>
  <si>
    <t>$505.19</t>
  </si>
  <si>
    <t>$5,155.00</t>
  </si>
  <si>
    <t>$18,930.00</t>
  </si>
  <si>
    <t>$1,325.10</t>
  </si>
  <si>
    <t>$12,620.00</t>
  </si>
  <si>
    <t>$7,945.00</t>
  </si>
  <si>
    <t>$556.15</t>
  </si>
  <si>
    <t>$5,675.00</t>
  </si>
  <si>
    <t>$3,829.00</t>
  </si>
  <si>
    <t>$268.03</t>
  </si>
  <si>
    <t>$2,735.00</t>
  </si>
  <si>
    <t>$11,074.00</t>
  </si>
  <si>
    <t>$775.18</t>
  </si>
  <si>
    <t>$7,910.00</t>
  </si>
  <si>
    <t>$20,862.00</t>
  </si>
  <si>
    <t>$1,460.34</t>
  </si>
  <si>
    <t>$5,215.50</t>
  </si>
  <si>
    <t>$26,580.00</t>
  </si>
  <si>
    <t>$1,860.60</t>
  </si>
  <si>
    <t>$6,645.00</t>
  </si>
  <si>
    <t>$6,16,350.00</t>
  </si>
  <si>
    <t>$43,144.50</t>
  </si>
  <si>
    <t>$4,57,860.00</t>
  </si>
  <si>
    <t>$1,34,400.00</t>
  </si>
  <si>
    <t>$9,408.00</t>
  </si>
  <si>
    <t>$1,12,000.00</t>
  </si>
  <si>
    <t>$6,54,300.00</t>
  </si>
  <si>
    <t>$45,801.00</t>
  </si>
  <si>
    <t>$5,45,250.00</t>
  </si>
  <si>
    <t>$39,520.00</t>
  </si>
  <si>
    <t>$2,766.40</t>
  </si>
  <si>
    <t>$19,760.00</t>
  </si>
  <si>
    <t>$21,875.00</t>
  </si>
  <si>
    <t>$3,00,000.00</t>
  </si>
  <si>
    <t>$5,10,600.00</t>
  </si>
  <si>
    <t>$35,742.00</t>
  </si>
  <si>
    <t>$4,25,500.00</t>
  </si>
  <si>
    <t>$4,39,125.00</t>
  </si>
  <si>
    <t>$30,738.75</t>
  </si>
  <si>
    <t>$4,21,560.00</t>
  </si>
  <si>
    <t>$31,515.00</t>
  </si>
  <si>
    <t>$2,206.05</t>
  </si>
  <si>
    <t>$21,010.00</t>
  </si>
  <si>
    <t>$43,965.00</t>
  </si>
  <si>
    <t>$3,077.55</t>
  </si>
  <si>
    <t>$29,310.00</t>
  </si>
  <si>
    <t>$30,700.00</t>
  </si>
  <si>
    <t>$2,149.00</t>
  </si>
  <si>
    <t>$15,350.00</t>
  </si>
  <si>
    <t>$3,36,900.00</t>
  </si>
  <si>
    <t>$23,583.00</t>
  </si>
  <si>
    <t>$2,80,750.00</t>
  </si>
  <si>
    <t>$4,21,200.00</t>
  </si>
  <si>
    <t>$29,484.00</t>
  </si>
  <si>
    <t>$33,156.00</t>
  </si>
  <si>
    <t>$2,320.92</t>
  </si>
  <si>
    <t>$8,289.00</t>
  </si>
  <si>
    <t>$14,875.00</t>
  </si>
  <si>
    <t>$1,041.25</t>
  </si>
  <si>
    <t>$10,625.00</t>
  </si>
  <si>
    <t>$4,97,700.00</t>
  </si>
  <si>
    <t>$34,839.00</t>
  </si>
  <si>
    <t>$4,14,750.00</t>
  </si>
  <si>
    <t>$12,180.00</t>
  </si>
  <si>
    <t>$852.60</t>
  </si>
  <si>
    <t>$6,090.00</t>
  </si>
  <si>
    <t>$2,60,875.00</t>
  </si>
  <si>
    <t>$18,261.25</t>
  </si>
  <si>
    <t>$2,50,440.00</t>
  </si>
  <si>
    <t>$28,420.00</t>
  </si>
  <si>
    <t>$1,989.40</t>
  </si>
  <si>
    <t>$14,210.00</t>
  </si>
  <si>
    <t>$4,11,600.00</t>
  </si>
  <si>
    <t>$28,812.00</t>
  </si>
  <si>
    <t>$588.00</t>
  </si>
  <si>
    <t>$11,760.00</t>
  </si>
  <si>
    <t>$823.20</t>
  </si>
  <si>
    <t>$5,880.00</t>
  </si>
  <si>
    <t>$38,934.00</t>
  </si>
  <si>
    <t>$2,725.38</t>
  </si>
  <si>
    <t>$9,733.50</t>
  </si>
  <si>
    <t>$2,87,700.00</t>
  </si>
  <si>
    <t>$2,39,750.00</t>
  </si>
  <si>
    <t>$8,24,100.00</t>
  </si>
  <si>
    <t>$57,687.00</t>
  </si>
  <si>
    <t>$6,86,750.00</t>
  </si>
  <si>
    <t>$2,05,625.00</t>
  </si>
  <si>
    <t>$14,393.75</t>
  </si>
  <si>
    <t>$1,97,400.00</t>
  </si>
  <si>
    <t>$10,06,600.00</t>
  </si>
  <si>
    <t>$70,462.00</t>
  </si>
  <si>
    <t>$7,47,760.00</t>
  </si>
  <si>
    <t>$1,24,250.00</t>
  </si>
  <si>
    <t>$8,697.50</t>
  </si>
  <si>
    <t>$1,19,280.00</t>
  </si>
  <si>
    <t>$22,360.00</t>
  </si>
  <si>
    <t>$1,565.20</t>
  </si>
  <si>
    <t>$11,180.00</t>
  </si>
  <si>
    <t>$3,416.00</t>
  </si>
  <si>
    <t>$273.28</t>
  </si>
  <si>
    <t>$2,440.00</t>
  </si>
  <si>
    <t>$25,640.00</t>
  </si>
  <si>
    <t>$2,051.20</t>
  </si>
  <si>
    <t>$12,820.00</t>
  </si>
  <si>
    <t>$1,799.00</t>
  </si>
  <si>
    <t>$143.92</t>
  </si>
  <si>
    <t>$1,285.00</t>
  </si>
  <si>
    <t>$1,92,500.00</t>
  </si>
  <si>
    <t>$15,400.00</t>
  </si>
  <si>
    <t>$1,84,800.00</t>
  </si>
  <si>
    <t>$7,350.00</t>
  </si>
  <si>
    <t>$4,900.00</t>
  </si>
  <si>
    <t>$4,76,700.00</t>
  </si>
  <si>
    <t>$38,136.00</t>
  </si>
  <si>
    <t>$3,54,120.00</t>
  </si>
  <si>
    <t>$37,515.00</t>
  </si>
  <si>
    <t>$3,001.20</t>
  </si>
  <si>
    <t>$25,010.00</t>
  </si>
  <si>
    <t>$14,160.00</t>
  </si>
  <si>
    <t>$1,132.80</t>
  </si>
  <si>
    <t>$7,080.00</t>
  </si>
  <si>
    <t>$12,900.00</t>
  </si>
  <si>
    <t>$1,032.00</t>
  </si>
  <si>
    <t>$6,450.00</t>
  </si>
  <si>
    <t>$5,418.00</t>
  </si>
  <si>
    <t>$4,68,600.00</t>
  </si>
  <si>
    <t>$37,488.00</t>
  </si>
  <si>
    <t>$3,90,500.00</t>
  </si>
  <si>
    <t>$3,84,900.00</t>
  </si>
  <si>
    <t>$30,792.00</t>
  </si>
  <si>
    <t>$3,20,750.00</t>
  </si>
  <si>
    <t>$10,665.00</t>
  </si>
  <si>
    <t>$853.20</t>
  </si>
  <si>
    <t>$7,110.00</t>
  </si>
  <si>
    <t>$1,39,250.00</t>
  </si>
  <si>
    <t>$11,140.00</t>
  </si>
  <si>
    <t>$1,33,680.00</t>
  </si>
  <si>
    <t>$8,813.00</t>
  </si>
  <si>
    <t>$705.04</t>
  </si>
  <si>
    <t>$6,295.00</t>
  </si>
  <si>
    <t>$7,665.00</t>
  </si>
  <si>
    <t>$613.20</t>
  </si>
  <si>
    <t>$5,475.00</t>
  </si>
  <si>
    <t>$27,320.00</t>
  </si>
  <si>
    <t>$2,185.60</t>
  </si>
  <si>
    <t>$13,660.00</t>
  </si>
  <si>
    <t>$7,38,000.00</t>
  </si>
  <si>
    <t>$59,040.00</t>
  </si>
  <si>
    <t>$6,15,000.00</t>
  </si>
  <si>
    <t>$4,746.00</t>
  </si>
  <si>
    <t>$379.68</t>
  </si>
  <si>
    <t>$3,390.00</t>
  </si>
  <si>
    <t>$11,186.00</t>
  </si>
  <si>
    <t>$894.88</t>
  </si>
  <si>
    <t>$7,990.00</t>
  </si>
  <si>
    <t>$16,863.00</t>
  </si>
  <si>
    <t>$1,349.04</t>
  </si>
  <si>
    <t>$12,045.00</t>
  </si>
  <si>
    <t>$38,680.00</t>
  </si>
  <si>
    <t>$3,094.40</t>
  </si>
  <si>
    <t>$19,340.00</t>
  </si>
  <si>
    <t>$59,860.00</t>
  </si>
  <si>
    <t>$4,788.80</t>
  </si>
  <si>
    <t>$29,930.00</t>
  </si>
  <si>
    <t>$7,51,100.00</t>
  </si>
  <si>
    <t>$60,088.00</t>
  </si>
  <si>
    <t>$5,57,960.00</t>
  </si>
  <si>
    <t>$13,622.00</t>
  </si>
  <si>
    <t>$1,089.76</t>
  </si>
  <si>
    <t>$9,730.00</t>
  </si>
  <si>
    <t>$7,176.00</t>
  </si>
  <si>
    <t>$574.08</t>
  </si>
  <si>
    <t>$1,794.00</t>
  </si>
  <si>
    <t>$20,349.00</t>
  </si>
  <si>
    <t>$1,627.92</t>
  </si>
  <si>
    <t>$14,535.00</t>
  </si>
  <si>
    <t>$16,366.00</t>
  </si>
  <si>
    <t>$1,309.28</t>
  </si>
  <si>
    <t>$11,690.00</t>
  </si>
  <si>
    <t>$1,15,800.00</t>
  </si>
  <si>
    <t>$9,264.00</t>
  </si>
  <si>
    <t>$96,500.00</t>
  </si>
  <si>
    <t>$1,90,500.00</t>
  </si>
  <si>
    <t>$15,240.00</t>
  </si>
  <si>
    <t>$1,58,750.00</t>
  </si>
  <si>
    <t>$2,01,075.00</t>
  </si>
  <si>
    <t>$16,086.00</t>
  </si>
  <si>
    <t>$1,49,370.00</t>
  </si>
  <si>
    <t>$1,33,350.00</t>
  </si>
  <si>
    <t>$10,668.00</t>
  </si>
  <si>
    <t>$99,060.00</t>
  </si>
  <si>
    <t>$1,47,700.00</t>
  </si>
  <si>
    <t>$11,816.00</t>
  </si>
  <si>
    <t>$1,09,720.00</t>
  </si>
  <si>
    <t>$6,40,200.00</t>
  </si>
  <si>
    <t>$51,216.00</t>
  </si>
  <si>
    <t>$5,33,500.00</t>
  </si>
  <si>
    <t>$2,42,400.00</t>
  </si>
  <si>
    <t>$19,392.00</t>
  </si>
  <si>
    <t>$2,02,000.00</t>
  </si>
  <si>
    <t>$30,400.00</t>
  </si>
  <si>
    <t>$2,432.00</t>
  </si>
  <si>
    <t>$15,200.00</t>
  </si>
  <si>
    <t>$1,320.00</t>
  </si>
  <si>
    <t>$4,125.00</t>
  </si>
  <si>
    <t>$8,730.00</t>
  </si>
  <si>
    <t>$698.40</t>
  </si>
  <si>
    <t>$4,365.00</t>
  </si>
  <si>
    <t>$3,28,200.00</t>
  </si>
  <si>
    <t>$29,538.00</t>
  </si>
  <si>
    <t>$2,73,500.00</t>
  </si>
  <si>
    <t>$396.36</t>
  </si>
  <si>
    <t>$11,40,750.00</t>
  </si>
  <si>
    <t>$1,02,667.50</t>
  </si>
  <si>
    <t>$9,50,625.00</t>
  </si>
  <si>
    <t>$5,83,100.00</t>
  </si>
  <si>
    <t>$52,479.00</t>
  </si>
  <si>
    <t>$4,33,160.00</t>
  </si>
  <si>
    <t>$96,600.00</t>
  </si>
  <si>
    <t>$8,694.00</t>
  </si>
  <si>
    <t>$80,500.00</t>
  </si>
  <si>
    <t>$27,852.00</t>
  </si>
  <si>
    <t>$2,506.68</t>
  </si>
  <si>
    <t>$6,963.00</t>
  </si>
  <si>
    <t>$2,32,125.00</t>
  </si>
  <si>
    <t>$20,891.25</t>
  </si>
  <si>
    <t>$2,22,840.00</t>
  </si>
  <si>
    <t>$11,277.00</t>
  </si>
  <si>
    <t>$1,014.93</t>
  </si>
  <si>
    <t>$8,055.00</t>
  </si>
  <si>
    <t>$3,49,625.00</t>
  </si>
  <si>
    <t>$31,466.25</t>
  </si>
  <si>
    <t>$3,35,640.00</t>
  </si>
  <si>
    <t>$1,00,200.00</t>
  </si>
  <si>
    <t>$9,018.00</t>
  </si>
  <si>
    <t>$83,500.00</t>
  </si>
  <si>
    <t>$7,69,500.00</t>
  </si>
  <si>
    <t>$69,255.00</t>
  </si>
  <si>
    <t>$6,41,250.00</t>
  </si>
  <si>
    <t>$8,45,950.00</t>
  </si>
  <si>
    <t>$76,135.50</t>
  </si>
  <si>
    <t>$6,28,420.00</t>
  </si>
  <si>
    <t>$3,675.00</t>
  </si>
  <si>
    <t>$55,125.00</t>
  </si>
  <si>
    <t>$4,961.25</t>
  </si>
  <si>
    <t>$36,750.00</t>
  </si>
  <si>
    <t>$18,405.00</t>
  </si>
  <si>
    <t>$1,656.45</t>
  </si>
  <si>
    <t>$12,270.00</t>
  </si>
  <si>
    <t>$3,97,200.00</t>
  </si>
  <si>
    <t>$35,748.00</t>
  </si>
  <si>
    <t>$3,31,000.00</t>
  </si>
  <si>
    <t>$21,300.00</t>
  </si>
  <si>
    <t>$1,917.00</t>
  </si>
  <si>
    <t>$5,325.00</t>
  </si>
  <si>
    <t>$330.75</t>
  </si>
  <si>
    <t>$2,450.00</t>
  </si>
  <si>
    <t>$11,38,050.00</t>
  </si>
  <si>
    <t>$1,02,424.50</t>
  </si>
  <si>
    <t>$9,48,375.00</t>
  </si>
  <si>
    <t>$4,57,450.00</t>
  </si>
  <si>
    <t>$41,170.50</t>
  </si>
  <si>
    <t>$3,39,820.00</t>
  </si>
  <si>
    <t>$70,875.00</t>
  </si>
  <si>
    <t>$6,378.75</t>
  </si>
  <si>
    <t>$68,040.00</t>
  </si>
  <si>
    <t>$2,63,750.00</t>
  </si>
  <si>
    <t>$23,737.50</t>
  </si>
  <si>
    <t>$2,53,200.00</t>
  </si>
  <si>
    <t>$4,44,150.00</t>
  </si>
  <si>
    <t>$39,973.50</t>
  </si>
  <si>
    <t>$3,29,940.00</t>
  </si>
  <si>
    <t>$23,472.00</t>
  </si>
  <si>
    <t>$2,112.48</t>
  </si>
  <si>
    <t>$5,868.00</t>
  </si>
  <si>
    <t>$7,97,700.00</t>
  </si>
  <si>
    <t>$71,793.00</t>
  </si>
  <si>
    <t>$6,64,750.00</t>
  </si>
  <si>
    <t>$4,73,025.00</t>
  </si>
  <si>
    <t>$42,572.25</t>
  </si>
  <si>
    <t>$3,51,390.00</t>
  </si>
  <si>
    <t>$950.40</t>
  </si>
  <si>
    <t>$2,640.00</t>
  </si>
  <si>
    <t>$5,60,100.00</t>
  </si>
  <si>
    <t>$50,409.00</t>
  </si>
  <si>
    <t>$4,66,750.00</t>
  </si>
  <si>
    <t>$26,808.00</t>
  </si>
  <si>
    <t>$2,412.72</t>
  </si>
  <si>
    <t>$6,702.00</t>
  </si>
  <si>
    <t>$1,09,625.00</t>
  </si>
  <si>
    <t>$9,866.25</t>
  </si>
  <si>
    <t>$1,05,240.00</t>
  </si>
  <si>
    <t>$7,24,850.00</t>
  </si>
  <si>
    <t>$65,236.50</t>
  </si>
  <si>
    <t>$5,38,460.00</t>
  </si>
  <si>
    <t>$14,550.00</t>
  </si>
  <si>
    <t>$1,309.50</t>
  </si>
  <si>
    <t>$9,700.00</t>
  </si>
  <si>
    <t>$33,880.00</t>
  </si>
  <si>
    <t>$3,049.20</t>
  </si>
  <si>
    <t>$16,940.00</t>
  </si>
  <si>
    <t>$13,260.00</t>
  </si>
  <si>
    <t>$1,193.40</t>
  </si>
  <si>
    <t>$5,733.00</t>
  </si>
  <si>
    <t>$515.97</t>
  </si>
  <si>
    <t>$4,095.00</t>
  </si>
  <si>
    <t>$18,960.00</t>
  </si>
  <si>
    <t>$1,706.40</t>
  </si>
  <si>
    <t>$4,740.00</t>
  </si>
  <si>
    <t>$3,647.00</t>
  </si>
  <si>
    <t>$328.23</t>
  </si>
  <si>
    <t>$2,605.00</t>
  </si>
  <si>
    <t>$19,460.00</t>
  </si>
  <si>
    <t>$1,751.40</t>
  </si>
  <si>
    <t>$20,760.00</t>
  </si>
  <si>
    <t>$1,868.40</t>
  </si>
  <si>
    <t>$10,380.00</t>
  </si>
  <si>
    <t>$2,520.00</t>
  </si>
  <si>
    <t>$226.80</t>
  </si>
  <si>
    <t>$1,800.00</t>
  </si>
  <si>
    <t>$23,604.00</t>
  </si>
  <si>
    <t>$2,124.36</t>
  </si>
  <si>
    <t>$5,901.00</t>
  </si>
  <si>
    <t>$39,420.00</t>
  </si>
  <si>
    <t>$3,547.80</t>
  </si>
  <si>
    <t>$26,280.00</t>
  </si>
  <si>
    <t>$53,640.00</t>
  </si>
  <si>
    <t>$4,827.60</t>
  </si>
  <si>
    <t>$26,820.00</t>
  </si>
  <si>
    <t>$24,457.50</t>
  </si>
  <si>
    <t>$2,201.18</t>
  </si>
  <si>
    <t>$16,305.00</t>
  </si>
  <si>
    <t>$3,672.00</t>
  </si>
  <si>
    <t>$330.48</t>
  </si>
  <si>
    <t>High</t>
  </si>
  <si>
    <t>$4,632.00</t>
  </si>
  <si>
    <t>$463.20</t>
  </si>
  <si>
    <t>$1,158.00</t>
  </si>
  <si>
    <t>$16,296.00</t>
  </si>
  <si>
    <t>$1,629.60</t>
  </si>
  <si>
    <t>$11,640.00</t>
  </si>
  <si>
    <t>$4,30,687.50</t>
  </si>
  <si>
    <t>$43,068.75</t>
  </si>
  <si>
    <t>$4,13,460.00</t>
  </si>
  <si>
    <t>$1,85,250.00</t>
  </si>
  <si>
    <t>$18,525.00</t>
  </si>
  <si>
    <t>$1,77,840.00</t>
  </si>
  <si>
    <t>$8,09,550.00</t>
  </si>
  <si>
    <t>$80,955.00</t>
  </si>
  <si>
    <t>$6,01,380.00</t>
  </si>
  <si>
    <t>$22,550.00</t>
  </si>
  <si>
    <t>$31,080.00</t>
  </si>
  <si>
    <t>$3,108.00</t>
  </si>
  <si>
    <t>$20,720.00</t>
  </si>
  <si>
    <t>$39,080.00</t>
  </si>
  <si>
    <t>$3,908.00</t>
  </si>
  <si>
    <t>$19,540.00</t>
  </si>
  <si>
    <t>$1,77,300.00</t>
  </si>
  <si>
    <t>$17,730.00</t>
  </si>
  <si>
    <t>$1,47,750.00</t>
  </si>
  <si>
    <t>$32,505.00</t>
  </si>
  <si>
    <t>$3,250.50</t>
  </si>
  <si>
    <t>$21,670.00</t>
  </si>
  <si>
    <t>$4,820.00</t>
  </si>
  <si>
    <t>$482.00</t>
  </si>
  <si>
    <t>$2,410.00</t>
  </si>
  <si>
    <t>$10,215.00</t>
  </si>
  <si>
    <t>$1,021.50</t>
  </si>
  <si>
    <t>$6,810.00</t>
  </si>
  <si>
    <t>$7,650.00</t>
  </si>
  <si>
    <t>$765.00</t>
  </si>
  <si>
    <t>$5,100.00</t>
  </si>
  <si>
    <t>$11,850.00</t>
  </si>
  <si>
    <t>$1,185.00</t>
  </si>
  <si>
    <t>$7,900.00</t>
  </si>
  <si>
    <t>$2,23,650.00</t>
  </si>
  <si>
    <t>$22,365.00</t>
  </si>
  <si>
    <t>$1,66,140.00</t>
  </si>
  <si>
    <t>$1,99,500.00</t>
  </si>
  <si>
    <t>$19,950.00</t>
  </si>
  <si>
    <t>$1,91,520.00</t>
  </si>
  <si>
    <t>$6,88,200.00</t>
  </si>
  <si>
    <t>$68,820.00</t>
  </si>
  <si>
    <t>$5,73,500.00</t>
  </si>
  <si>
    <t>$18,655.00</t>
  </si>
  <si>
    <t>$1,865.50</t>
  </si>
  <si>
    <t>$13,325.00</t>
  </si>
  <si>
    <t>$23,950.00</t>
  </si>
  <si>
    <t>$2,29,920.00</t>
  </si>
  <si>
    <t>$2,55,900.00</t>
  </si>
  <si>
    <t>$25,590.00</t>
  </si>
  <si>
    <t>$42,625.00</t>
  </si>
  <si>
    <t>$4,262.50</t>
  </si>
  <si>
    <t>$40,920.00</t>
  </si>
  <si>
    <t>$9,615.00</t>
  </si>
  <si>
    <t>$961.50</t>
  </si>
  <si>
    <t>$6,410.00</t>
  </si>
  <si>
    <t>$9,82,450.00</t>
  </si>
  <si>
    <t>$98,245.00</t>
  </si>
  <si>
    <t>$7,29,820.00</t>
  </si>
  <si>
    <t>$1,29,600.00</t>
  </si>
  <si>
    <t>$12,960.00</t>
  </si>
  <si>
    <t>$1,08,000.00</t>
  </si>
  <si>
    <t>$3,16,125.00</t>
  </si>
  <si>
    <t>$31,612.50</t>
  </si>
  <si>
    <t>$3,03,480.00</t>
  </si>
  <si>
    <t>$6,54,500.00</t>
  </si>
  <si>
    <t>$65,450.00</t>
  </si>
  <si>
    <t>$4,86,200.00</t>
  </si>
  <si>
    <t>$72,375.00</t>
  </si>
  <si>
    <t>$7,237.50</t>
  </si>
  <si>
    <t>$69,480.00</t>
  </si>
  <si>
    <t>$7,84,000.00</t>
  </si>
  <si>
    <t>$78,400.00</t>
  </si>
  <si>
    <t>$5,82,400.00</t>
  </si>
  <si>
    <t>$8,97,900.00</t>
  </si>
  <si>
    <t>$89,790.00</t>
  </si>
  <si>
    <t>$7,48,250.00</t>
  </si>
  <si>
    <t>$42,246.00</t>
  </si>
  <si>
    <t>$4,224.60</t>
  </si>
  <si>
    <t>$10,561.50</t>
  </si>
  <si>
    <t>$40,780.00</t>
  </si>
  <si>
    <t>$4,078.00</t>
  </si>
  <si>
    <t>$20,390.00</t>
  </si>
  <si>
    <t>$2,574.00</t>
  </si>
  <si>
    <t>$30,888.00</t>
  </si>
  <si>
    <t>$3,088.80</t>
  </si>
  <si>
    <t>$7,722.00</t>
  </si>
  <si>
    <t>$2,47,450.00</t>
  </si>
  <si>
    <t>$24,745.00</t>
  </si>
  <si>
    <t>$1,83,820.00</t>
  </si>
  <si>
    <t>$14,376.00</t>
  </si>
  <si>
    <t>$1,581.36</t>
  </si>
  <si>
    <t>$3,594.00</t>
  </si>
  <si>
    <t>$17,724.00</t>
  </si>
  <si>
    <t>$1,949.64</t>
  </si>
  <si>
    <t>$5,760.00</t>
  </si>
  <si>
    <t>$633.60</t>
  </si>
  <si>
    <t>$3,840.00</t>
  </si>
  <si>
    <t>$5,664.00</t>
  </si>
  <si>
    <t>$623.04</t>
  </si>
  <si>
    <t>$1,416.00</t>
  </si>
  <si>
    <t>$11,053.00</t>
  </si>
  <si>
    <t>$1,215.83</t>
  </si>
  <si>
    <t>$7,895.00</t>
  </si>
  <si>
    <t>$12,060.00</t>
  </si>
  <si>
    <t>$1,326.60</t>
  </si>
  <si>
    <t>$3,015.00</t>
  </si>
  <si>
    <t>$47,992.50</t>
  </si>
  <si>
    <t>$5,279.18</t>
  </si>
  <si>
    <t>$31,995.00</t>
  </si>
  <si>
    <t>$23,244.00</t>
  </si>
  <si>
    <t>$2,556.84</t>
  </si>
  <si>
    <t>$5,811.00</t>
  </si>
  <si>
    <t>$2,77,200.00</t>
  </si>
  <si>
    <t>$30,492.00</t>
  </si>
  <si>
    <t>$2,05,920.00</t>
  </si>
  <si>
    <t>$8,43,300.00</t>
  </si>
  <si>
    <t>$92,763.00</t>
  </si>
  <si>
    <t>$7,02,750.00</t>
  </si>
  <si>
    <t>$3,05,125.00</t>
  </si>
  <si>
    <t>$33,563.75</t>
  </si>
  <si>
    <t>$2,92,920.00</t>
  </si>
  <si>
    <t>$23,400.00</t>
  </si>
  <si>
    <t>$15,600.00</t>
  </si>
  <si>
    <t>$18,942.00</t>
  </si>
  <si>
    <t>$2,083.62</t>
  </si>
  <si>
    <t>$13,530.00</t>
  </si>
  <si>
    <t>$2,68,100.00</t>
  </si>
  <si>
    <t>$29,491.00</t>
  </si>
  <si>
    <t>$1,99,160.00</t>
  </si>
  <si>
    <t>$59,840.00</t>
  </si>
  <si>
    <t>$6,582.40</t>
  </si>
  <si>
    <t>$29,920.00</t>
  </si>
  <si>
    <t>$32,355.00</t>
  </si>
  <si>
    <t>$3,559.05</t>
  </si>
  <si>
    <t>$21,570.00</t>
  </si>
  <si>
    <t>$2,61,900.00</t>
  </si>
  <si>
    <t>$28,809.00</t>
  </si>
  <si>
    <t>$2,18,250.00</t>
  </si>
  <si>
    <t>$22,440.00</t>
  </si>
  <si>
    <t>$2,468.40</t>
  </si>
  <si>
    <t>$11,220.00</t>
  </si>
  <si>
    <t>$7,36,575.00</t>
  </si>
  <si>
    <t>$81,023.25</t>
  </si>
  <si>
    <t>$5,47,170.00</t>
  </si>
  <si>
    <t>$48,312.00</t>
  </si>
  <si>
    <t>$5,314.32</t>
  </si>
  <si>
    <t>$12,078.00</t>
  </si>
  <si>
    <t>$29,106.00</t>
  </si>
  <si>
    <t>$3,201.66</t>
  </si>
  <si>
    <t>$7,276.50</t>
  </si>
  <si>
    <t>$47,880.00</t>
  </si>
  <si>
    <t>$5,266.80</t>
  </si>
  <si>
    <t>$23,940.00</t>
  </si>
  <si>
    <t>$29,760.00</t>
  </si>
  <si>
    <t>$3,273.60</t>
  </si>
  <si>
    <t>$19,840.00</t>
  </si>
  <si>
    <t>$4,09,800.00</t>
  </si>
  <si>
    <t>$45,078.00</t>
  </si>
  <si>
    <t>$3,41,500.00</t>
  </si>
  <si>
    <t>$56,100.00</t>
  </si>
  <si>
    <t>$6,171.00</t>
  </si>
  <si>
    <t>$28,050.00</t>
  </si>
  <si>
    <t>$9,825.00</t>
  </si>
  <si>
    <t>$1,080.75</t>
  </si>
  <si>
    <t>$6,550.00</t>
  </si>
  <si>
    <t>$1,20,400.00</t>
  </si>
  <si>
    <t>$13,244.00</t>
  </si>
  <si>
    <t>$89,440.00</t>
  </si>
  <si>
    <t>$12,656.00</t>
  </si>
  <si>
    <t>$1,392.16</t>
  </si>
  <si>
    <t>$9,040.00</t>
  </si>
  <si>
    <t>$20,808.00</t>
  </si>
  <si>
    <t>$2,288.88</t>
  </si>
  <si>
    <t>$5,202.00</t>
  </si>
  <si>
    <t>$69,250.00</t>
  </si>
  <si>
    <t>$7,617.50</t>
  </si>
  <si>
    <t>$66,480.00</t>
  </si>
  <si>
    <t>$58,700.00</t>
  </si>
  <si>
    <t>$6,457.00</t>
  </si>
  <si>
    <t>$29,350.00</t>
  </si>
  <si>
    <t>$3,95,625.00</t>
  </si>
  <si>
    <t>$43,518.75</t>
  </si>
  <si>
    <t>$3,79,800.00</t>
  </si>
  <si>
    <t>$52,580.00</t>
  </si>
  <si>
    <t>$5,783.80</t>
  </si>
  <si>
    <t>$26,290.00</t>
  </si>
  <si>
    <t>$1,79,125.00</t>
  </si>
  <si>
    <t>$19,703.75</t>
  </si>
  <si>
    <t>$1,71,960.00</t>
  </si>
  <si>
    <t>$1,18,375.00</t>
  </si>
  <si>
    <t>$13,021.25</t>
  </si>
  <si>
    <t>$1,13,640.00</t>
  </si>
  <si>
    <t>$2,660.00</t>
  </si>
  <si>
    <t>$292.60</t>
  </si>
  <si>
    <t>$1,900.00</t>
  </si>
  <si>
    <t>$3,10,100.00</t>
  </si>
  <si>
    <t>$37,212.00</t>
  </si>
  <si>
    <t>$2,30,360.00</t>
  </si>
  <si>
    <t>$3,02,000.00</t>
  </si>
  <si>
    <t>$36,240.00</t>
  </si>
  <si>
    <t>$2,89,920.00</t>
  </si>
  <si>
    <t>$2,69,500.00</t>
  </si>
  <si>
    <t>$32,340.00</t>
  </si>
  <si>
    <t>$2,58,720.00</t>
  </si>
  <si>
    <t>$40,335.00</t>
  </si>
  <si>
    <t>$4,840.20</t>
  </si>
  <si>
    <t>$26,890.00</t>
  </si>
  <si>
    <t>$10,155.00</t>
  </si>
  <si>
    <t>$6,770.00</t>
  </si>
  <si>
    <t>$5,31,900.00</t>
  </si>
  <si>
    <t>$63,828.00</t>
  </si>
  <si>
    <t>$4,43,250.00</t>
  </si>
  <si>
    <t>$2,032.80</t>
  </si>
  <si>
    <t>$12,100.00</t>
  </si>
  <si>
    <t>$19,138.00</t>
  </si>
  <si>
    <t>$2,296.56</t>
  </si>
  <si>
    <t>$13,670.00</t>
  </si>
  <si>
    <t>$34,300.00</t>
  </si>
  <si>
    <t>$4,116.00</t>
  </si>
  <si>
    <t>$17,150.00</t>
  </si>
  <si>
    <t>$3,55,800.00</t>
  </si>
  <si>
    <t>$42,696.00</t>
  </si>
  <si>
    <t>$2,96,500.00</t>
  </si>
  <si>
    <t>$10,48,500.00</t>
  </si>
  <si>
    <t>$1,25,820.00</t>
  </si>
  <si>
    <t>$8,73,750.00</t>
  </si>
  <si>
    <t>$18,100.00</t>
  </si>
  <si>
    <t>$2,172.00</t>
  </si>
  <si>
    <t>$9,050.00</t>
  </si>
  <si>
    <t>$5,57,900.00</t>
  </si>
  <si>
    <t>$66,948.00</t>
  </si>
  <si>
    <t>$4,14,440.00</t>
  </si>
  <si>
    <t>$4,07,700.00</t>
  </si>
  <si>
    <t>$48,924.00</t>
  </si>
  <si>
    <t>$3,39,750.00</t>
  </si>
  <si>
    <t>$6,45,000.00</t>
  </si>
  <si>
    <t>$77,400.00</t>
  </si>
  <si>
    <t>$5,37,500.00</t>
  </si>
  <si>
    <t>$4,18,950.00</t>
  </si>
  <si>
    <t>$50,274.00</t>
  </si>
  <si>
    <t>$3,11,220.00</t>
  </si>
  <si>
    <t>$5,700.00</t>
  </si>
  <si>
    <t>$684.00</t>
  </si>
  <si>
    <t>$3,800.00</t>
  </si>
  <si>
    <t>$24,660.00</t>
  </si>
  <si>
    <t>$2,959.20</t>
  </si>
  <si>
    <t>$12,330.00</t>
  </si>
  <si>
    <t>$4,88,250.00</t>
  </si>
  <si>
    <t>$58,590.00</t>
  </si>
  <si>
    <t>$3,62,700.00</t>
  </si>
  <si>
    <t>$3,45,100.00</t>
  </si>
  <si>
    <t>$41,412.00</t>
  </si>
  <si>
    <t>$2,56,360.00</t>
  </si>
  <si>
    <t>$25,308.00</t>
  </si>
  <si>
    <t>$3,036.96</t>
  </si>
  <si>
    <t>$6,327.00</t>
  </si>
  <si>
    <t>$58,117.50</t>
  </si>
  <si>
    <t>$6,974.10</t>
  </si>
  <si>
    <t>$38,745.00</t>
  </si>
  <si>
    <t>$2,18,050.00</t>
  </si>
  <si>
    <t>$26,166.00</t>
  </si>
  <si>
    <t>$1,61,980.00</t>
  </si>
  <si>
    <t>$2,98,375.00</t>
  </si>
  <si>
    <t>$35,805.00</t>
  </si>
  <si>
    <t>$2,86,440.00</t>
  </si>
  <si>
    <t>$94,500.00</t>
  </si>
  <si>
    <t>$11,340.00</t>
  </si>
  <si>
    <t>$70,200.00</t>
  </si>
  <si>
    <t>$23,950.50</t>
  </si>
  <si>
    <t>$2,874.06</t>
  </si>
  <si>
    <t>$17,107.50</t>
  </si>
  <si>
    <t>$38,220.00</t>
  </si>
  <si>
    <t>$4,586.40</t>
  </si>
  <si>
    <t>$25,480.00</t>
  </si>
  <si>
    <t>$50,430.00</t>
  </si>
  <si>
    <t>$6,051.60</t>
  </si>
  <si>
    <t>$25,215.00</t>
  </si>
  <si>
    <t>$31,932.00</t>
  </si>
  <si>
    <t>$3,831.84</t>
  </si>
  <si>
    <t>$7,983.00</t>
  </si>
  <si>
    <t>$30,620.00</t>
  </si>
  <si>
    <t>$3,674.40</t>
  </si>
  <si>
    <t>$15,310.00</t>
  </si>
  <si>
    <t>$10,437.00</t>
  </si>
  <si>
    <t>$1,252.44</t>
  </si>
  <si>
    <t>$7,455.00</t>
  </si>
  <si>
    <t>$33,132.00</t>
  </si>
  <si>
    <t>$3,975.84</t>
  </si>
  <si>
    <t>$8,283.00</t>
  </si>
  <si>
    <t>$5,005.65</t>
  </si>
  <si>
    <t>$25,670.00</t>
  </si>
  <si>
    <t>$3,23,050.00</t>
  </si>
  <si>
    <t>$41,996.50</t>
  </si>
  <si>
    <t>$2,39,980.00</t>
  </si>
  <si>
    <t>$6,26,500.00</t>
  </si>
  <si>
    <t>$81,445.00</t>
  </si>
  <si>
    <t>$4,65,400.00</t>
  </si>
  <si>
    <t>$8,840.00</t>
  </si>
  <si>
    <t>$1,149.20</t>
  </si>
  <si>
    <t>$4,420.00</t>
  </si>
  <si>
    <t>$3,43,875.00</t>
  </si>
  <si>
    <t>$44,703.75</t>
  </si>
  <si>
    <t>$2,55,450.00</t>
  </si>
  <si>
    <t>$9,086.00</t>
  </si>
  <si>
    <t>$1,181.18</t>
  </si>
  <si>
    <t>$6,490.00</t>
  </si>
  <si>
    <t>$7,248.00</t>
  </si>
  <si>
    <t>$942.24</t>
  </si>
  <si>
    <t>$1,812.00</t>
  </si>
  <si>
    <t>$45,100.00</t>
  </si>
  <si>
    <t>$5,863.00</t>
  </si>
  <si>
    <t>$24,980.00</t>
  </si>
  <si>
    <t>$3,247.40</t>
  </si>
  <si>
    <t>$12,490.00</t>
  </si>
  <si>
    <t>$10,069.50</t>
  </si>
  <si>
    <t>$1,309.04</t>
  </si>
  <si>
    <t>$7,192.50</t>
  </si>
  <si>
    <t>$2,42,100.00</t>
  </si>
  <si>
    <t>$31,473.00</t>
  </si>
  <si>
    <t>$2,01,750.00</t>
  </si>
  <si>
    <t>$52,820.00</t>
  </si>
  <si>
    <t>$6,866.60</t>
  </si>
  <si>
    <t>$26,410.00</t>
  </si>
  <si>
    <t>$54,160.00</t>
  </si>
  <si>
    <t>$7,040.80</t>
  </si>
  <si>
    <t>$27,080.00</t>
  </si>
  <si>
    <t>$9,21,200.00</t>
  </si>
  <si>
    <t>$1,19,756.00</t>
  </si>
  <si>
    <t>$6,84,320.00</t>
  </si>
  <si>
    <t>$1,97,875.00</t>
  </si>
  <si>
    <t>$25,723.75</t>
  </si>
  <si>
    <t>$1,89,960.00</t>
  </si>
  <si>
    <t>$6,852.00</t>
  </si>
  <si>
    <t>$890.76</t>
  </si>
  <si>
    <t>$1,713.00</t>
  </si>
  <si>
    <t>$18,872.00</t>
  </si>
  <si>
    <t>$2,453.36</t>
  </si>
  <si>
    <t>$13,480.00</t>
  </si>
  <si>
    <t>$23,475.00</t>
  </si>
  <si>
    <t>$3,051.75</t>
  </si>
  <si>
    <t>$15,650.00</t>
  </si>
  <si>
    <t>$1,24,950.00</t>
  </si>
  <si>
    <t>$16,243.50</t>
  </si>
  <si>
    <t>$92,820.00</t>
  </si>
  <si>
    <t>$12,156.00</t>
  </si>
  <si>
    <t>$1,580.28</t>
  </si>
  <si>
    <t>$3,039.00</t>
  </si>
  <si>
    <t>$59,962.50</t>
  </si>
  <si>
    <t>$7,795.13</t>
  </si>
  <si>
    <t>$39,975.00</t>
  </si>
  <si>
    <t>$8,330.00</t>
  </si>
  <si>
    <t>$1,082.90</t>
  </si>
  <si>
    <t>$5,950.00</t>
  </si>
  <si>
    <t>$9,900.00</t>
  </si>
  <si>
    <t>$6,600.00</t>
  </si>
  <si>
    <t>$4,920.00</t>
  </si>
  <si>
    <t>$639.60</t>
  </si>
  <si>
    <t>$1,230.00</t>
  </si>
  <si>
    <t>$7,81,500.00</t>
  </si>
  <si>
    <t>$1,01,595.00</t>
  </si>
  <si>
    <t>$6,51,250.00</t>
  </si>
  <si>
    <t>$2,07,375.00</t>
  </si>
  <si>
    <t>$26,958.75</t>
  </si>
  <si>
    <t>$1,99,080.00</t>
  </si>
  <si>
    <t>$21,240.00</t>
  </si>
  <si>
    <t>$2,761.20</t>
  </si>
  <si>
    <t>$5,310.00</t>
  </si>
  <si>
    <t>$51,580.00</t>
  </si>
  <si>
    <t>$7,221.20</t>
  </si>
  <si>
    <t>$25,790.00</t>
  </si>
  <si>
    <t>$34,860.00</t>
  </si>
  <si>
    <t>$4,880.40</t>
  </si>
  <si>
    <t>$20,972.00</t>
  </si>
  <si>
    <t>$2,936.08</t>
  </si>
  <si>
    <t>$14,980.00</t>
  </si>
  <si>
    <t>$1,960.00</t>
  </si>
  <si>
    <t>$274.40</t>
  </si>
  <si>
    <t>$1,400.00</t>
  </si>
  <si>
    <t>$2,051.00</t>
  </si>
  <si>
    <t>$287.14</t>
  </si>
  <si>
    <t>$4,170.00</t>
  </si>
  <si>
    <t>$583.80</t>
  </si>
  <si>
    <t>$2,780.00</t>
  </si>
  <si>
    <t>$48,560.00</t>
  </si>
  <si>
    <t>$6,798.40</t>
  </si>
  <si>
    <t>$24,280.00</t>
  </si>
  <si>
    <t>$26,505.00</t>
  </si>
  <si>
    <t>$3,710.70</t>
  </si>
  <si>
    <t>$17,670.00</t>
  </si>
  <si>
    <t>$16,716.00</t>
  </si>
  <si>
    <t>$2,340.24</t>
  </si>
  <si>
    <t>$4,179.00</t>
  </si>
  <si>
    <t>$24,180.00</t>
  </si>
  <si>
    <t>$3,385.20</t>
  </si>
  <si>
    <t>$6,045.00</t>
  </si>
  <si>
    <t>$801.00</t>
  </si>
  <si>
    <t>$2,40,300.00</t>
  </si>
  <si>
    <t>$33,642.00</t>
  </si>
  <si>
    <t>$2,00,250.00</t>
  </si>
  <si>
    <t>$1,27,875.00</t>
  </si>
  <si>
    <t>$17,902.50</t>
  </si>
  <si>
    <t>$1,22,760.00</t>
  </si>
  <si>
    <t>$4,48,800.00</t>
  </si>
  <si>
    <t>$62,832.00</t>
  </si>
  <si>
    <t>$3,03,000.00</t>
  </si>
  <si>
    <t>$42,420.00</t>
  </si>
  <si>
    <t>$2,52,500.00</t>
  </si>
  <si>
    <t>$22,695.00</t>
  </si>
  <si>
    <t>$3,177.30</t>
  </si>
  <si>
    <t>$15,130.00</t>
  </si>
  <si>
    <t>$34,500.00</t>
  </si>
  <si>
    <t>$4,830.00</t>
  </si>
  <si>
    <t>$23,000.00</t>
  </si>
  <si>
    <t>$49,367.50</t>
  </si>
  <si>
    <t>$7,79,625.00</t>
  </si>
  <si>
    <t>$1,09,147.50</t>
  </si>
  <si>
    <t>$5,79,150.00</t>
  </si>
  <si>
    <t>$4,19,650.00</t>
  </si>
  <si>
    <t>$58,751.00</t>
  </si>
  <si>
    <t>$3,11,740.00</t>
  </si>
  <si>
    <t>$70,000.00</t>
  </si>
  <si>
    <t>$9,800.00</t>
  </si>
  <si>
    <t>$52,000.00</t>
  </si>
  <si>
    <t>$2,716.00</t>
  </si>
  <si>
    <t>$380.24</t>
  </si>
  <si>
    <t>$12,089.00</t>
  </si>
  <si>
    <t>$1,692.46</t>
  </si>
  <si>
    <t>$8,635.00</t>
  </si>
  <si>
    <t>$5,200.00</t>
  </si>
  <si>
    <t>$728.00</t>
  </si>
  <si>
    <t>$2,600.00</t>
  </si>
  <si>
    <t>$5,187.00</t>
  </si>
  <si>
    <t>$3,660.30</t>
  </si>
  <si>
    <t>$34,968.00</t>
  </si>
  <si>
    <t>$4,895.52</t>
  </si>
  <si>
    <t>$8,742.00</t>
  </si>
  <si>
    <t>$12,117.00</t>
  </si>
  <si>
    <t>$1,696.38</t>
  </si>
  <si>
    <t>$8,655.00</t>
  </si>
  <si>
    <t>$2,45,000.00</t>
  </si>
  <si>
    <t>$1,82,000.00</t>
  </si>
  <si>
    <t>$26,664.00</t>
  </si>
  <si>
    <t>$3,732.96</t>
  </si>
  <si>
    <t>$6,666.00</t>
  </si>
  <si>
    <t>$4,11,950.00</t>
  </si>
  <si>
    <t>$57,673.00</t>
  </si>
  <si>
    <t>$3,06,020.00</t>
  </si>
  <si>
    <t>$6,72,700.00</t>
  </si>
  <si>
    <t>$94,178.00</t>
  </si>
  <si>
    <t>$4,99,720.00</t>
  </si>
  <si>
    <t>$1,96,875.00</t>
  </si>
  <si>
    <t>$27,562.50</t>
  </si>
  <si>
    <t>$1,89,000.00</t>
  </si>
  <si>
    <t>$12,120.00</t>
  </si>
  <si>
    <t>$1,696.80</t>
  </si>
  <si>
    <t>$6,060.00</t>
  </si>
  <si>
    <t>$80,700.00</t>
  </si>
  <si>
    <t>$11,298.00</t>
  </si>
  <si>
    <t>$67,250.00</t>
  </si>
  <si>
    <t>$7,60,800.00</t>
  </si>
  <si>
    <t>$1,06,512.00</t>
  </si>
  <si>
    <t>$6,34,000.00</t>
  </si>
  <si>
    <t>$20,321.00</t>
  </si>
  <si>
    <t>$2,844.94</t>
  </si>
  <si>
    <t>$14,515.00</t>
  </si>
  <si>
    <t>$7,62,300.00</t>
  </si>
  <si>
    <t>$1,06,722.00</t>
  </si>
  <si>
    <t>$6,35,250.00</t>
  </si>
  <si>
    <t>$4,48,350.00</t>
  </si>
  <si>
    <t>$62,769.00</t>
  </si>
  <si>
    <t>$3,33,060.00</t>
  </si>
  <si>
    <t>$2,66,400.00</t>
  </si>
  <si>
    <t>$37,296.00</t>
  </si>
  <si>
    <t>$2,22,000.00</t>
  </si>
  <si>
    <t>$3,55,500.00</t>
  </si>
  <si>
    <t>$49,770.00</t>
  </si>
  <si>
    <t>$3,41,280.00</t>
  </si>
  <si>
    <t>$29,700.00</t>
  </si>
  <si>
    <t>$4,158.00</t>
  </si>
  <si>
    <t>$7,425.00</t>
  </si>
  <si>
    <t>$3,927.00</t>
  </si>
  <si>
    <t>$1,46,750.00</t>
  </si>
  <si>
    <t>$22,012.50</t>
  </si>
  <si>
    <t>$1,40,880.00</t>
  </si>
  <si>
    <t>$3,45,875.00</t>
  </si>
  <si>
    <t>$51,881.25</t>
  </si>
  <si>
    <t>$3,32,040.00</t>
  </si>
  <si>
    <t>$1,35,625.00</t>
  </si>
  <si>
    <t>$20,343.75</t>
  </si>
  <si>
    <t>$1,30,200.00</t>
  </si>
  <si>
    <t>$1,63,800.00</t>
  </si>
  <si>
    <t>$24,570.00</t>
  </si>
  <si>
    <t>$1,36,500.00</t>
  </si>
  <si>
    <t>$23,160.00</t>
  </si>
  <si>
    <t>$3,474.00</t>
  </si>
  <si>
    <t>$11,580.00</t>
  </si>
  <si>
    <t>$24,210.00</t>
  </si>
  <si>
    <t>$3,631.50</t>
  </si>
  <si>
    <t>$16,140.00</t>
  </si>
  <si>
    <t>$17,745.00</t>
  </si>
  <si>
    <t>$2,661.75</t>
  </si>
  <si>
    <t>$12,675.00</t>
  </si>
  <si>
    <t>$9,97,850.00</t>
  </si>
  <si>
    <t>$1,49,677.50</t>
  </si>
  <si>
    <t>$7,41,260.00</t>
  </si>
  <si>
    <t>$38,385.00</t>
  </si>
  <si>
    <t>$5,757.75</t>
  </si>
  <si>
    <t>$5,340.00</t>
  </si>
  <si>
    <t>$2,670.00</t>
  </si>
  <si>
    <t>$17,625.00</t>
  </si>
  <si>
    <t>$2,643.75</t>
  </si>
  <si>
    <t>$11,750.00</t>
  </si>
  <si>
    <t>$7,02,450.00</t>
  </si>
  <si>
    <t>$1,05,367.50</t>
  </si>
  <si>
    <t>$5,21,820.00</t>
  </si>
  <si>
    <t>$7,52,850.00</t>
  </si>
  <si>
    <t>$1,12,927.50</t>
  </si>
  <si>
    <t>$5,59,260.00</t>
  </si>
  <si>
    <t>$10,968.00</t>
  </si>
  <si>
    <t>$1,645.20</t>
  </si>
  <si>
    <t>$2,742.00</t>
  </si>
  <si>
    <t>$5,860.00</t>
  </si>
  <si>
    <t>$879.00</t>
  </si>
  <si>
    <t>$2,930.00</t>
  </si>
  <si>
    <t>$6,000.00</t>
  </si>
  <si>
    <t>$900.00</t>
  </si>
  <si>
    <t>$1,500.00</t>
  </si>
  <si>
    <t>$42,390.00</t>
  </si>
  <si>
    <t>$6,358.50</t>
  </si>
  <si>
    <t>$28,260.00</t>
  </si>
  <si>
    <t>$12,431.25</t>
  </si>
  <si>
    <t>$7,72,200.00</t>
  </si>
  <si>
    <t>$1,15,830.00</t>
  </si>
  <si>
    <t>$6,43,500.00</t>
  </si>
  <si>
    <t>$3,04,750.00</t>
  </si>
  <si>
    <t>$45,712.50</t>
  </si>
  <si>
    <t>$2,92,560.00</t>
  </si>
  <si>
    <t>$17,310.00</t>
  </si>
  <si>
    <t>$2,596.50</t>
  </si>
  <si>
    <t>$7,380.00</t>
  </si>
  <si>
    <t>$1,107.00</t>
  </si>
  <si>
    <t>$3,69,250.00</t>
  </si>
  <si>
    <t>$55,387.50</t>
  </si>
  <si>
    <t>$3,54,480.00</t>
  </si>
  <si>
    <t>$69,000.00</t>
  </si>
  <si>
    <t>$10,350.00</t>
  </si>
  <si>
    <t>$66,240.00</t>
  </si>
  <si>
    <t>$7,42,500.00</t>
  </si>
  <si>
    <t>$1,11,375.00</t>
  </si>
  <si>
    <t>$6,18,750.00</t>
  </si>
  <si>
    <t>$9,576.00</t>
  </si>
  <si>
    <t>$1,436.40</t>
  </si>
  <si>
    <t>$6,840.00</t>
  </si>
  <si>
    <t>$5,061.00</t>
  </si>
  <si>
    <t>$759.15</t>
  </si>
  <si>
    <t>$3,615.00</t>
  </si>
  <si>
    <t>$21,672.00</t>
  </si>
  <si>
    <t>$3,250.80</t>
  </si>
  <si>
    <t>5,29,550.00</t>
  </si>
  <si>
    <t>3,33,187.50</t>
  </si>
  <si>
    <t>2,87,400.00</t>
  </si>
  <si>
    <t>3,52,100.00</t>
  </si>
  <si>
    <t>2,36,400.00</t>
  </si>
  <si>
    <t>6,03,750.00</t>
  </si>
  <si>
    <t>2,25,500.00</t>
  </si>
  <si>
    <t>3,52,625.00</t>
  </si>
  <si>
    <t>6,00,300.00</t>
  </si>
  <si>
    <t>5,34,450.00</t>
  </si>
  <si>
    <t>6,45,300.00</t>
  </si>
  <si>
    <t>9,62,500.00</t>
  </si>
  <si>
    <t>5,27,437.50</t>
  </si>
  <si>
    <t>4,19,265.00</t>
  </si>
  <si>
    <t>1,46,718.00</t>
  </si>
  <si>
    <t>4,84,060.50</t>
  </si>
  <si>
    <t>7,46,707.50</t>
  </si>
  <si>
    <t>6,83,397.00</t>
  </si>
  <si>
    <t>7,41,906.00</t>
  </si>
  <si>
    <t>2,25,596.25</t>
  </si>
  <si>
    <t>8,62,785.00</t>
  </si>
  <si>
    <t>1,14,221.25</t>
  </si>
  <si>
    <t>3,26,922.75</t>
  </si>
  <si>
    <t>2,92,842.00</t>
  </si>
  <si>
    <t>2,15,820.00</t>
  </si>
  <si>
    <t>9,78,236.00</t>
  </si>
  <si>
    <t>2,03,350.00</t>
  </si>
  <si>
    <t>2,69,892.00</t>
  </si>
  <si>
    <t>5,08,032.00</t>
  </si>
  <si>
    <t>2,62,762.50</t>
  </si>
  <si>
    <t>5,63,304.00</t>
  </si>
  <si>
    <t>3,34,302.50</t>
  </si>
  <si>
    <t>10,17,338.00</t>
  </si>
  <si>
    <t>9,86,811.00</t>
  </si>
  <si>
    <t>6,65,420.00</t>
  </si>
  <si>
    <t>3,23,694.00</t>
  </si>
  <si>
    <t>2,78,810.00</t>
  </si>
  <si>
    <t>5,14,524.38</t>
  </si>
  <si>
    <t>2,00,499.00</t>
  </si>
  <si>
    <t>6,10,081.50</t>
  </si>
  <si>
    <t>1,56,048.75</t>
  </si>
  <si>
    <t>2,06,852.50</t>
  </si>
  <si>
    <t>7,08,439.50</t>
  </si>
  <si>
    <t>2,15,097.50</t>
  </si>
  <si>
    <t>1,90,362.50</t>
  </si>
  <si>
    <t>2,43,591.25</t>
  </si>
  <si>
    <t>8,27,604.00</t>
  </si>
  <si>
    <t>5,45,334.00</t>
  </si>
  <si>
    <t>5,57,459.00</t>
  </si>
  <si>
    <t>5,82,048.00</t>
  </si>
  <si>
    <t>5,35,392.00</t>
  </si>
  <si>
    <t>1,36,560.00</t>
  </si>
  <si>
    <t>4,07,376.00</t>
  </si>
  <si>
    <t>8,40,384.00</t>
  </si>
  <si>
    <t>11,59,200.00</t>
  </si>
  <si>
    <t>3,58,560.00</t>
  </si>
  <si>
    <t>7,31,472.00</t>
  </si>
  <si>
    <t>1,17,264.00</t>
  </si>
  <si>
    <t>6,26,640.00</t>
  </si>
  <si>
    <t>1,28,880.00</t>
  </si>
  <si>
    <t>6,40,752.00</t>
  </si>
  <si>
    <t>5,97,408.00</t>
  </si>
  <si>
    <t>2,82,435.00</t>
  </si>
  <si>
    <t>4,60,346.25</t>
  </si>
  <si>
    <t>4,30,706.25</t>
  </si>
  <si>
    <t>2,39,400.00</t>
  </si>
  <si>
    <t>3,13,500.00</t>
  </si>
  <si>
    <t>3,55,300.00</t>
  </si>
  <si>
    <t>2,83,218.75</t>
  </si>
  <si>
    <t>4,57,995.00</t>
  </si>
  <si>
    <t>2,00,165.00</t>
  </si>
  <si>
    <t>4,08,310.00</t>
  </si>
  <si>
    <t>1,02,243.75</t>
  </si>
  <si>
    <t>3,56,250.00</t>
  </si>
  <si>
    <t>4,48,875.00</t>
  </si>
  <si>
    <t>1,83,540.00</t>
  </si>
  <si>
    <t>1,04,222.50</t>
  </si>
  <si>
    <t>3,22,420.00</t>
  </si>
  <si>
    <t>4,80,340.00</t>
  </si>
  <si>
    <t>4,92,184.00</t>
  </si>
  <si>
    <t>2,39,183.00</t>
  </si>
  <si>
    <t>1,11,860.00</t>
  </si>
  <si>
    <t>3,23,712.50</t>
  </si>
  <si>
    <t>3,44,322.00</t>
  </si>
  <si>
    <t>6,83,004.00</t>
  </si>
  <si>
    <t>6,86,952.00</t>
  </si>
  <si>
    <t>2,33,531.25</t>
  </si>
  <si>
    <t>5,52,391.00</t>
  </si>
  <si>
    <t>5,73,205.50</t>
  </si>
  <si>
    <t>1,24,992.00</t>
  </si>
  <si>
    <t>6,08,499.00</t>
  </si>
  <si>
    <t>2,90,625.00</t>
  </si>
  <si>
    <t>4,74,858.00</t>
  </si>
  <si>
    <t>4,08,386.25</t>
  </si>
  <si>
    <t>3,13,317.00</t>
  </si>
  <si>
    <t>3,91,716.00</t>
  </si>
  <si>
    <t>4,62,861.00</t>
  </si>
  <si>
    <t>2,42,613.75</t>
  </si>
  <si>
    <t>3,82,788.00</t>
  </si>
  <si>
    <t>2,67,561.00</t>
  </si>
  <si>
    <t>7,66,413.00</t>
  </si>
  <si>
    <t>1,91,231.25</t>
  </si>
  <si>
    <t>9,36,138.00</t>
  </si>
  <si>
    <t>1,15,552.50</t>
  </si>
  <si>
    <t>1,77,100.00</t>
  </si>
  <si>
    <t>4,38,564.00</t>
  </si>
  <si>
    <t>4,31,112.00</t>
  </si>
  <si>
    <t>3,54,108.00</t>
  </si>
  <si>
    <t>1,28,110.00</t>
  </si>
  <si>
    <t>6,78,960.00</t>
  </si>
  <si>
    <t>6,91,012.00</t>
  </si>
  <si>
    <t>1,06,536.00</t>
  </si>
  <si>
    <t>1,75,260.00</t>
  </si>
  <si>
    <t>1,84,989.00</t>
  </si>
  <si>
    <t>1,22,682.00</t>
  </si>
  <si>
    <t>1,35,884.00</t>
  </si>
  <si>
    <t>5,88,984.00</t>
  </si>
  <si>
    <t>2,23,008.00</t>
  </si>
  <si>
    <t>2,98,662.00</t>
  </si>
  <si>
    <t>10,38,082.50</t>
  </si>
  <si>
    <t>5,30,621.00</t>
  </si>
  <si>
    <t>2,11,233.75</t>
  </si>
  <si>
    <t>3,18,158.75</t>
  </si>
  <si>
    <t>7,00,245.00</t>
  </si>
  <si>
    <t>7,69,814.50</t>
  </si>
  <si>
    <t>3,61,452.00</t>
  </si>
  <si>
    <t>10,35,625.50</t>
  </si>
  <si>
    <t>4,16,279.50</t>
  </si>
  <si>
    <t>2,40,012.50</t>
  </si>
  <si>
    <t>4,04,176.50</t>
  </si>
  <si>
    <t>7,25,907.00</t>
  </si>
  <si>
    <t>4,30,452.75</t>
  </si>
  <si>
    <t>5,09,691.00</t>
  </si>
  <si>
    <t>6,59,613.50</t>
  </si>
  <si>
    <t>3,87,618.75</t>
  </si>
  <si>
    <t>1,66,725.00</t>
  </si>
  <si>
    <t>7,28,595.00</t>
  </si>
  <si>
    <t>2,02,950.00</t>
  </si>
  <si>
    <t>1,59,570.00</t>
  </si>
  <si>
    <t>2,01,285.00</t>
  </si>
  <si>
    <t>1,79,550.00</t>
  </si>
  <si>
    <t>6,19,380.00</t>
  </si>
  <si>
    <t>2,15,550.00</t>
  </si>
  <si>
    <t>2,30,310.00</t>
  </si>
  <si>
    <t>8,84,205.00</t>
  </si>
  <si>
    <t>1,16,640.00</t>
  </si>
  <si>
    <t>2,84,512.50</t>
  </si>
  <si>
    <t>5,89,050.00</t>
  </si>
  <si>
    <t>7,05,600.00</t>
  </si>
  <si>
    <t>8,08,110.00</t>
  </si>
  <si>
    <t>2,22,705.00</t>
  </si>
  <si>
    <t>2,46,708.00</t>
  </si>
  <si>
    <t>7,50,537.00</t>
  </si>
  <si>
    <t>2,71,561.25</t>
  </si>
  <si>
    <t>2,38,609.00</t>
  </si>
  <si>
    <t>2,33,091.00</t>
  </si>
  <si>
    <t>6,55,551.75</t>
  </si>
  <si>
    <t>3,64,722.00</t>
  </si>
  <si>
    <t>1,07,156.00</t>
  </si>
  <si>
    <t>3,52,106.25</t>
  </si>
  <si>
    <t>1,59,421.25</t>
  </si>
  <si>
    <t>1,05,353.75</t>
  </si>
  <si>
    <t>2,72,888.00</t>
  </si>
  <si>
    <t>2,65,760.00</t>
  </si>
  <si>
    <t>2,37,160.00</t>
  </si>
  <si>
    <t>4,68,072.00</t>
  </si>
  <si>
    <t>3,13,104.00</t>
  </si>
  <si>
    <t>9,22,680.00</t>
  </si>
  <si>
    <t>4,90,952.00</t>
  </si>
  <si>
    <t>3,58,776.00</t>
  </si>
  <si>
    <t>5,67,600.00</t>
  </si>
  <si>
    <t>3,68,676.00</t>
  </si>
  <si>
    <t>4,29,660.00</t>
  </si>
  <si>
    <t>3,03,688.00</t>
  </si>
  <si>
    <t>1,91,884.00</t>
  </si>
  <si>
    <t>2,62,570.00</t>
  </si>
  <si>
    <t>2,81,053.50</t>
  </si>
  <si>
    <t>5,45,055.00</t>
  </si>
  <si>
    <t>2,99,171.25</t>
  </si>
  <si>
    <t>2,10,627.00</t>
  </si>
  <si>
    <t>8,01,444.00</t>
  </si>
  <si>
    <t>1,72,151.25</t>
  </si>
  <si>
    <t>1,08,706.50</t>
  </si>
  <si>
    <t>6,79,905.00</t>
  </si>
  <si>
    <t>1,80,416.25</t>
  </si>
  <si>
    <t>2,06,658.00</t>
  </si>
  <si>
    <t>1,09,972.50</t>
  </si>
  <si>
    <t>3,85,968.00</t>
  </si>
  <si>
    <t>2,60,580.00</t>
  </si>
  <si>
    <t>3,03,257.50</t>
  </si>
  <si>
    <t>6,70,477.50</t>
  </si>
  <si>
    <t>3,60,899.00</t>
  </si>
  <si>
    <t>2,10,700.00</t>
  </si>
  <si>
    <t>3,54,277.00</t>
  </si>
  <si>
    <t>5,78,522.00</t>
  </si>
  <si>
    <t>1,69,312.50</t>
  </si>
  <si>
    <t>6,34,680.00</t>
  </si>
  <si>
    <t>6,54,288.00</t>
  </si>
  <si>
    <t>6,55,578.00</t>
  </si>
  <si>
    <t>3,85,581.00</t>
  </si>
  <si>
    <t>2,29,104.00</t>
  </si>
  <si>
    <t>3,05,730.00</t>
  </si>
  <si>
    <t>1,24,737.50</t>
  </si>
  <si>
    <t>2,93,993.75</t>
  </si>
  <si>
    <t>1,15,281.25</t>
  </si>
  <si>
    <t>1,39,230.00</t>
  </si>
  <si>
    <t>8,48,172.50</t>
  </si>
  <si>
    <t>5,97,082.50</t>
  </si>
  <si>
    <t>6,39,922.50</t>
  </si>
  <si>
    <t>6,56,370.00</t>
  </si>
  <si>
    <t>2,59,037.50</t>
  </si>
  <si>
    <t>3,13,862.50</t>
  </si>
  <si>
    <t>6,31,125.00</t>
  </si>
  <si>
    <t>1,36,170.00</t>
  </si>
  <si>
    <t>1,55,250.00</t>
  </si>
  <si>
    <t>1,00,050.00</t>
  </si>
  <si>
    <t>1,37,430.00</t>
  </si>
  <si>
    <t>1,07,550.00</t>
  </si>
  <si>
    <t>2,47,500.00</t>
  </si>
  <si>
    <t>1,04,665.00</t>
  </si>
  <si>
    <t>1,20,840.50</t>
  </si>
  <si>
    <t>1,86,407.50</t>
  </si>
  <si>
    <t>1,08,147.00</t>
  </si>
  <si>
    <t>1,17,406.00</t>
  </si>
  <si>
    <t>1,36,535.00</t>
  </si>
  <si>
    <t>2,36,716.00</t>
  </si>
  <si>
    <t>2,46,178.00</t>
  </si>
  <si>
    <t>2,38,791.00</t>
  </si>
  <si>
    <t>1,61,020.00</t>
  </si>
  <si>
    <t>1,42,861.50</t>
  </si>
  <si>
    <t>1,16,604.00</t>
  </si>
  <si>
    <t>1,30,539.00</t>
  </si>
  <si>
    <t>1,10,884.00</t>
  </si>
  <si>
    <t>2,62,200.00</t>
  </si>
  <si>
    <t>1,65,452.00</t>
  </si>
  <si>
    <t>1,41,740.00</t>
  </si>
  <si>
    <t>1,44,932.00</t>
  </si>
  <si>
    <t>1,35,128.00</t>
  </si>
  <si>
    <t>1,00,376.25</t>
  </si>
  <si>
    <t>1,00,740.00</t>
  </si>
  <si>
    <t>1,03,224.00</t>
  </si>
  <si>
    <t>1,43,244.00</t>
  </si>
  <si>
    <t>1,15,851.00</t>
  </si>
  <si>
    <t>1,15,345.50</t>
  </si>
  <si>
    <t>1,88,378.00</t>
  </si>
  <si>
    <t>1,33,052.00</t>
  </si>
  <si>
    <t>1,41,394.50</t>
  </si>
  <si>
    <t>1,21,153.50</t>
  </si>
  <si>
    <t>1,27,215.00</t>
  </si>
  <si>
    <t>1,54,385.00</t>
  </si>
  <si>
    <t>1,02,850.00</t>
  </si>
  <si>
    <t>1,23,200.00</t>
  </si>
  <si>
    <t>1,08,381.75</t>
  </si>
  <si>
    <t>1,17,124.00</t>
  </si>
  <si>
    <t>1,06,912.50</t>
  </si>
  <si>
    <t>order size</t>
  </si>
  <si>
    <t>Total</t>
  </si>
  <si>
    <t>Average</t>
  </si>
  <si>
    <t>Opreations</t>
  </si>
  <si>
    <t>Row Labels</t>
  </si>
  <si>
    <t>Grand Total</t>
  </si>
  <si>
    <t>Column Labels</t>
  </si>
  <si>
    <t>Total Sum of Profit</t>
  </si>
  <si>
    <t>Sum of Profit</t>
  </si>
  <si>
    <t>Total Sum of Sales</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</si>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</sst>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quot;ج.م.‏&quot;"/>
    <numFmt numFmtId="167" formatCode="[$$-409]#,##0.00"/>
    <numFmt numFmtId="170" formatCode="_-[$$-409]* #,##0.00_ ;_-[$$-409]* \-#,##0.00\ ;_-[$$-409]* &quot;-&quot;??_ ;_-@_ "/>
  </numFmts>
  <fonts count="18" x14ac:knownFonts="1">
    <font>
      <sz val="11"/>
      <color theme="1"/>
      <name val="Calibri"/>
      <family val="2"/>
      <charset val="178"/>
      <scheme val="minor"/>
    </font>
    <font>
      <sz val="11"/>
      <color theme="1"/>
      <name val="Calibri"/>
      <family val="2"/>
      <charset val="178"/>
      <scheme val="minor"/>
    </font>
    <font>
      <sz val="18"/>
      <color theme="3"/>
      <name val="Calibri Light"/>
      <family val="2"/>
      <charset val="178"/>
      <scheme val="major"/>
    </font>
    <font>
      <b/>
      <sz val="15"/>
      <color theme="3"/>
      <name val="Calibri"/>
      <family val="2"/>
      <charset val="178"/>
      <scheme val="minor"/>
    </font>
    <font>
      <b/>
      <sz val="13"/>
      <color theme="3"/>
      <name val="Calibri"/>
      <family val="2"/>
      <charset val="178"/>
      <scheme val="minor"/>
    </font>
    <font>
      <b/>
      <sz val="11"/>
      <color theme="3"/>
      <name val="Calibri"/>
      <family val="2"/>
      <charset val="178"/>
      <scheme val="minor"/>
    </font>
    <font>
      <sz val="11"/>
      <color rgb="FF006100"/>
      <name val="Calibri"/>
      <family val="2"/>
      <charset val="178"/>
      <scheme val="minor"/>
    </font>
    <font>
      <sz val="11"/>
      <color rgb="FF9C0006"/>
      <name val="Calibri"/>
      <family val="2"/>
      <charset val="178"/>
      <scheme val="minor"/>
    </font>
    <font>
      <sz val="11"/>
      <color rgb="FF9C5700"/>
      <name val="Calibri"/>
      <family val="2"/>
      <charset val="178"/>
      <scheme val="minor"/>
    </font>
    <font>
      <sz val="11"/>
      <color rgb="FF3F3F76"/>
      <name val="Calibri"/>
      <family val="2"/>
      <charset val="178"/>
      <scheme val="minor"/>
    </font>
    <font>
      <b/>
      <sz val="11"/>
      <color rgb="FF3F3F3F"/>
      <name val="Calibri"/>
      <family val="2"/>
      <charset val="178"/>
      <scheme val="minor"/>
    </font>
    <font>
      <b/>
      <sz val="11"/>
      <color rgb="FFFA7D00"/>
      <name val="Calibri"/>
      <family val="2"/>
      <charset val="178"/>
      <scheme val="minor"/>
    </font>
    <font>
      <sz val="11"/>
      <color rgb="FFFA7D00"/>
      <name val="Calibri"/>
      <family val="2"/>
      <charset val="178"/>
      <scheme val="minor"/>
    </font>
    <font>
      <b/>
      <sz val="11"/>
      <color theme="0"/>
      <name val="Calibri"/>
      <family val="2"/>
      <charset val="178"/>
      <scheme val="minor"/>
    </font>
    <font>
      <sz val="11"/>
      <color rgb="FFFF0000"/>
      <name val="Calibri"/>
      <family val="2"/>
      <charset val="178"/>
      <scheme val="minor"/>
    </font>
    <font>
      <i/>
      <sz val="11"/>
      <color rgb="FF7F7F7F"/>
      <name val="Calibri"/>
      <family val="2"/>
      <charset val="178"/>
      <scheme val="minor"/>
    </font>
    <font>
      <b/>
      <sz val="11"/>
      <color theme="1"/>
      <name val="Calibri"/>
      <family val="2"/>
      <charset val="178"/>
      <scheme val="minor"/>
    </font>
    <font>
      <sz val="11"/>
      <color theme="0"/>
      <name val="Calibri"/>
      <family val="2"/>
      <charset val="178"/>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49" fontId="0" fillId="0" borderId="0" xfId="0" applyNumberFormat="1"/>
    <xf numFmtId="164" fontId="0" fillId="0" borderId="0" xfId="0" applyNumberFormat="1"/>
    <xf numFmtId="1" fontId="0" fillId="0" borderId="0" xfId="0" applyNumberFormat="1"/>
    <xf numFmtId="0" fontId="0" fillId="0" borderId="10" xfId="0" applyBorder="1"/>
    <xf numFmtId="167" fontId="0" fillId="0" borderId="10" xfId="0" applyNumberFormat="1" applyBorder="1"/>
    <xf numFmtId="170" fontId="0" fillId="0" borderId="0" xfId="0" applyNumberFormat="1"/>
    <xf numFmtId="164" fontId="0" fillId="33" borderId="10" xfId="0" applyNumberFormat="1" applyFill="1" applyBorder="1"/>
    <xf numFmtId="0" fontId="0" fillId="33" borderId="10" xfId="0" applyFill="1" applyBorder="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9">
    <dxf>
      <numFmt numFmtId="170" formatCode="_-[$$-409]* #,##0.00_ ;_-[$$-409]* \-#,##0.00\ ;_-[$$-409]* &quot;-&quot;??_ ;_-@_ "/>
    </dxf>
    <dxf>
      <numFmt numFmtId="170" formatCode="_-[$$-409]* #,##0.00_ ;_-[$$-409]* \-#,##0.00\ ;_-[$$-409]* &quot;-&quot;??_ ;_-@_ "/>
    </dxf>
    <dxf>
      <numFmt numFmtId="34" formatCode="_-* #,##0.00\ &quot;ج.م.‏&quot;_-;\-* #,##0.00\ &quot;ج.م.‏&quot;_-;_-* &quot;-&quot;??\ &quot;ج.م.‏&quot;_-;_-@_-"/>
    </dxf>
    <dxf>
      <numFmt numFmtId="170" formatCode="_-[$$-409]* #,##0.00_ ;_-[$$-409]* \-#,##0.00\ ;_-[$$-409]* &quot;-&quot;??_ ;_-@_ "/>
    </dxf>
    <dxf>
      <numFmt numFmtId="170" formatCode="_-[$$-409]* #,##0.00_ ;_-[$$-409]* \-#,##0.00\ ;_-[$$-409]* &quot;-&quot;??_ ;_-@_ "/>
    </dxf>
    <dxf>
      <numFmt numFmtId="170" formatCode="_-[$$-409]* #,##0.00_ ;_-[$$-409]* \-#,##0.00\ ;_-[$$-409]* &quot;-&quot;??_ ;_-@_ "/>
    </dxf>
    <dxf>
      <numFmt numFmtId="34" formatCode="_-* #,##0.00\ &quot;ج.م.‏&quot;_-;\-* #,##0.00\ &quot;ج.م.‏&quot;_-;_-* &quot;-&quot;??\ &quot;ج.م.‏&quot;_-;_-@_-"/>
    </dxf>
    <dxf>
      <numFmt numFmtId="34" formatCode="_-* #,##0.00\ &quot;ج.م.‏&quot;_-;\-* #,##0.00\ &quot;ج.م.‏&quot;_-;_-* &quot;-&quot;??\ &quot;ج.م.‏&quot;_-;_-@_-"/>
    </dxf>
    <dxf>
      <numFmt numFmtId="170" formatCode="_-[$$-409]* #,##0.00_ ;_-[$$-409]* \-#,##0.00\ ;_-[$$-409]* &quot;-&quot;??_ ;_-@_ "/>
    </dxf>
    <dxf>
      <numFmt numFmtId="34" formatCode="_-* #,##0.00\ &quot;ج.م.‏&quot;_-;\-* #,##0.00\ &quot;ج.م.‏&quot;_-;_-* &quot;-&quot;??\ &quot;ج.م.‏&quot;_-;_-@_-"/>
    </dxf>
    <dxf>
      <numFmt numFmtId="34" formatCode="_-* #,##0.00\ &quot;ج.م.‏&quot;_-;\-* #,##0.00\ &quot;ج.م.‏&quot;_-;_-* &quot;-&quot;??\ &quot;ج.م.‏&quot;_-;_-@_-"/>
    </dxf>
    <dxf>
      <numFmt numFmtId="34" formatCode="_-* #,##0.00\ &quot;ج.م.‏&quot;_-;\-* #,##0.00\ &quot;ج.م.‏&quot;_-;_-* &quot;-&quot;??\ &quot;ج.م.‏&quot;_-;_-@_-"/>
    </dxf>
    <dxf>
      <numFmt numFmtId="170" formatCode="_-[$$-409]* #,##0.00_ ;_-[$$-409]* \-#,##0.00\ ;_-[$$-409]* &quot;-&quot;??_ ;_-@_ "/>
    </dxf>
    <dxf>
      <numFmt numFmtId="170" formatCode="_-[$$-409]* #,##0.00_ ;_-[$$-409]* \-#,##0.00\ ;_-[$$-409]* &quot;-&quot;??_ ;_-@_ "/>
    </dxf>
    <dxf>
      <numFmt numFmtId="170" formatCode="_-[$$-409]* #,##0.00_ ;_-[$$-409]* \-#,##0.00\ ;_-[$$-409]* &quot;-&quot;??_ ;_-@_ "/>
    </dxf>
    <dxf>
      <numFmt numFmtId="170" formatCode="_-[$$-409]* #,##0.00_ ;_-[$$-409]* \-#,##0.00\ ;_-[$$-409]* &quot;-&quot;??_ ;_-@_ "/>
    </dxf>
    <dxf>
      <numFmt numFmtId="170" formatCode="_-[$$-409]* #,##0.00_ ;_-[$$-409]* \-#,##0.00\ ;_-[$$-409]* &quot;-&quot;??_ ;_-@_ "/>
    </dxf>
    <dxf>
      <numFmt numFmtId="170" formatCode="_-[$$-409]* #,##0.00_ ;_-[$$-409]* \-#,##0.00\ ;_-[$$-409]* &quot;-&quot;??_ ;_-@_ "/>
    </dxf>
    <dxf>
      <numFmt numFmtId="170" formatCode="_-[$$-409]* #,##0.00_ ;_-[$$-409]* \-#,##0.00\ ;_-[$$-409]* &quot;-&quot;??_ ;_-@_ "/>
    </dxf>
    <dxf>
      <numFmt numFmtId="19" formatCode="dd/mm/yyyy"/>
    </dxf>
    <dxf>
      <numFmt numFmtId="1" formatCode="0"/>
    </dxf>
    <dxf>
      <numFmt numFmtId="30" formatCode="@"/>
    </dxf>
    <dxf>
      <numFmt numFmtId="0" formatCode="General"/>
    </dxf>
    <dxf>
      <numFmt numFmtId="1" formatCode="0"/>
    </dxf>
    <dxf>
      <numFmt numFmtId="30" formatCode="@"/>
    </dxf>
    <dxf>
      <numFmt numFmtId="1" formatCode="0"/>
    </dxf>
    <dxf>
      <numFmt numFmtId="30" formatCode="@"/>
    </dxf>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[Financials.xlsx]Dashboard!PivotTable1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Dashboard!$B$3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Dashboard!$A$4:$A$9</c:f>
              <c:strCache>
                <c:ptCount val="5"/>
                <c:pt idx="0">
                  <c:v>Canada</c:v>
                </c:pt>
                <c:pt idx="1">
                  <c:v>France</c:v>
                </c:pt>
                <c:pt idx="2">
                  <c:v>Germany</c:v>
                </c:pt>
                <c:pt idx="3">
                  <c:v>Mexico</c:v>
                </c:pt>
                <c:pt idx="4">
                  <c:v>UnitedStatesofAmerica</c:v>
                </c:pt>
              </c:strCache>
            </c:strRef>
          </c:cat>
          <c:val>
            <c:numRef>
              <c:f>Dashboard!$B$4:$B$9</c:f>
              <c:numCache>
                <c:formatCode>_-[$$-409]* #,##0.00_ ;_-[$$-409]* \-#,##0.00\ ;_-[$$-409]* "-"??_ ;_-@_ </c:formatCode>
                <c:ptCount val="5"/>
                <c:pt idx="0">
                  <c:v>2528516.6400000006</c:v>
                </c:pt>
                <c:pt idx="1">
                  <c:v>2054599.04</c:v>
                </c:pt>
                <c:pt idx="2">
                  <c:v>2094667.8200000008</c:v>
                </c:pt>
                <c:pt idx="3">
                  <c:v>2055120.1099999996</c:v>
                </c:pt>
                <c:pt idx="4">
                  <c:v>2027470.6800000002</c:v>
                </c:pt>
              </c:numCache>
            </c:numRef>
          </c:val>
          <c:extLst>
            <c:ext xmlns:c16="http://schemas.microsoft.com/office/drawing/2014/chart" uri="{C3380CC4-5D6E-409C-BE32-E72D297353CC}">
              <c16:uniqueId val="{00000000-18C9-4713-A06C-0D52DD81099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[Financials.xlsx]Dashboard!PivotTable2</c:name>
    <c:fmtId val="3"/>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Dashboard!$B$13:$B$15</c:f>
              <c:strCache>
                <c:ptCount val="1"/>
                <c:pt idx="0">
                  <c:v>ChannelPartners - Sum of Profit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Dashboard!$A$16:$A$22</c:f>
              <c:strCache>
                <c:ptCount val="6"/>
                <c:pt idx="0">
                  <c:v>Amarilla</c:v>
                </c:pt>
                <c:pt idx="1">
                  <c:v>Carretera</c:v>
                </c:pt>
                <c:pt idx="2">
                  <c:v>Montana</c:v>
                </c:pt>
                <c:pt idx="3">
                  <c:v>Paseo</c:v>
                </c:pt>
                <c:pt idx="4">
                  <c:v>Velo</c:v>
                </c:pt>
                <c:pt idx="5">
                  <c:v>VTT</c:v>
                </c:pt>
              </c:strCache>
            </c:strRef>
          </c:cat>
          <c:val>
            <c:numRef>
              <c:f>Dashboard!$B$16:$B$22</c:f>
              <c:numCache>
                <c:formatCode>_-[$$-409]* #,##0.00_ ;_-[$$-409]* \-#,##0.00\ ;_-[$$-409]* "-"??_ ;_-@_ </c:formatCode>
                <c:ptCount val="6"/>
                <c:pt idx="0">
                  <c:v>230068.5</c:v>
                </c:pt>
                <c:pt idx="1">
                  <c:v>208405.68000000002</c:v>
                </c:pt>
                <c:pt idx="2">
                  <c:v>192457.56000000003</c:v>
                </c:pt>
                <c:pt idx="3">
                  <c:v>331838.39999999997</c:v>
                </c:pt>
                <c:pt idx="4">
                  <c:v>134267.03999999998</c:v>
                </c:pt>
                <c:pt idx="5">
                  <c:v>219765.96</c:v>
                </c:pt>
              </c:numCache>
            </c:numRef>
          </c:val>
          <c:extLst>
            <c:ext xmlns:c16="http://schemas.microsoft.com/office/drawing/2014/chart" uri="{C3380CC4-5D6E-409C-BE32-E72D297353CC}">
              <c16:uniqueId val="{00000000-6B63-45DF-B55B-88903C64525E}"/>
            </c:ext>
          </c:extLst>
        </c:ser>
        <c:ser>
          <c:idx val="1"/>
          <c:order val="1"/>
          <c:tx>
            <c:strRef>
              <c:f>Dashboard!$C$13:$C$15</c:f>
              <c:strCache>
                <c:ptCount val="1"/>
                <c:pt idx="0">
                  <c:v>ChannelPartners - Sum of Sales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Dashboard!$A$16:$A$22</c:f>
              <c:strCache>
                <c:ptCount val="6"/>
                <c:pt idx="0">
                  <c:v>Amarilla</c:v>
                </c:pt>
                <c:pt idx="1">
                  <c:v>Carretera</c:v>
                </c:pt>
                <c:pt idx="2">
                  <c:v>Montana</c:v>
                </c:pt>
                <c:pt idx="3">
                  <c:v>Paseo</c:v>
                </c:pt>
                <c:pt idx="4">
                  <c:v>Velo</c:v>
                </c:pt>
                <c:pt idx="5">
                  <c:v>VTT</c:v>
                </c:pt>
              </c:strCache>
            </c:strRef>
          </c:cat>
          <c:val>
            <c:numRef>
              <c:f>Dashboard!$C$16:$C$22</c:f>
              <c:numCache>
                <c:formatCode>_-[$$-409]* #,##0.00_ ;_-[$$-409]* \-#,##0.00\ ;_-[$$-409]* "-"??_ ;_-@_ </c:formatCode>
                <c:ptCount val="6"/>
                <c:pt idx="0">
                  <c:v>317643</c:v>
                </c:pt>
                <c:pt idx="1">
                  <c:v>282838.67999999993</c:v>
                </c:pt>
                <c:pt idx="2">
                  <c:v>261844.56</c:v>
                </c:pt>
                <c:pt idx="3">
                  <c:v>454514.39999999997</c:v>
                </c:pt>
                <c:pt idx="4">
                  <c:v>182924.03999999998</c:v>
                </c:pt>
                <c:pt idx="5">
                  <c:v>300828.95999999996</c:v>
                </c:pt>
              </c:numCache>
            </c:numRef>
          </c:val>
          <c:extLst>
            <c:ext xmlns:c16="http://schemas.microsoft.com/office/drawing/2014/chart" uri="{C3380CC4-5D6E-409C-BE32-E72D297353CC}">
              <c16:uniqueId val="{00000001-6B63-45DF-B55B-88903C64525E}"/>
            </c:ext>
          </c:extLst>
        </c:ser>
        <c:ser>
          <c:idx val="2"/>
          <c:order val="2"/>
          <c:tx>
            <c:strRef>
              <c:f>Dashboard!$D$13:$D$15</c:f>
              <c:strCache>
                <c:ptCount val="1"/>
                <c:pt idx="0">
                  <c:v>Enterprise - Sum of Profit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Dashboard!$A$16:$A$22</c:f>
              <c:strCache>
                <c:ptCount val="6"/>
                <c:pt idx="0">
                  <c:v>Amarilla</c:v>
                </c:pt>
                <c:pt idx="1">
                  <c:v>Carretera</c:v>
                </c:pt>
                <c:pt idx="2">
                  <c:v>Montana</c:v>
                </c:pt>
                <c:pt idx="3">
                  <c:v>Paseo</c:v>
                </c:pt>
                <c:pt idx="4">
                  <c:v>Velo</c:v>
                </c:pt>
                <c:pt idx="5">
                  <c:v>VTT</c:v>
                </c:pt>
              </c:strCache>
            </c:strRef>
          </c:cat>
          <c:val>
            <c:numRef>
              <c:f>Dashboard!$D$16:$D$22</c:f>
              <c:numCache>
                <c:formatCode>_-[$$-409]* #,##0.00_ ;_-[$$-409]* \-#,##0.00\ ;_-[$$-409]* "-"??_ ;_-@_ </c:formatCode>
                <c:ptCount val="6"/>
                <c:pt idx="0">
                  <c:v>148727.5</c:v>
                </c:pt>
                <c:pt idx="1">
                  <c:v>239508.13</c:v>
                </c:pt>
                <c:pt idx="2">
                  <c:v>81956.25</c:v>
                </c:pt>
                <c:pt idx="3">
                  <c:v>159357.5</c:v>
                </c:pt>
                <c:pt idx="4">
                  <c:v>166150</c:v>
                </c:pt>
                <c:pt idx="5">
                  <c:v>144397.5</c:v>
                </c:pt>
              </c:numCache>
            </c:numRef>
          </c:val>
          <c:extLst>
            <c:ext xmlns:c16="http://schemas.microsoft.com/office/drawing/2014/chart" uri="{C3380CC4-5D6E-409C-BE32-E72D297353CC}">
              <c16:uniqueId val="{00000002-6B63-45DF-B55B-88903C64525E}"/>
            </c:ext>
          </c:extLst>
        </c:ser>
        <c:ser>
          <c:idx val="3"/>
          <c:order val="3"/>
          <c:tx>
            <c:strRef>
              <c:f>Dashboard!$E$13:$E$15</c:f>
              <c:strCache>
                <c:ptCount val="1"/>
                <c:pt idx="0">
                  <c:v>Enterprise - Sum of Sales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Dashboard!$A$16:$A$22</c:f>
              <c:strCache>
                <c:ptCount val="6"/>
                <c:pt idx="0">
                  <c:v>Amarilla</c:v>
                </c:pt>
                <c:pt idx="1">
                  <c:v>Carretera</c:v>
                </c:pt>
                <c:pt idx="2">
                  <c:v>Montana</c:v>
                </c:pt>
                <c:pt idx="3">
                  <c:v>Paseo</c:v>
                </c:pt>
                <c:pt idx="4">
                  <c:v>Velo</c:v>
                </c:pt>
                <c:pt idx="5">
                  <c:v>VTT</c:v>
                </c:pt>
              </c:strCache>
            </c:strRef>
          </c:cat>
          <c:val>
            <c:numRef>
              <c:f>Dashboard!$E$16:$E$22</c:f>
              <c:numCache>
                <c:formatCode>_-[$$-409]* #,##0.00_ ;_-[$$-409]* \-#,##0.00\ ;_-[$$-409]* "-"??_ ;_-@_ </c:formatCode>
                <c:ptCount val="6"/>
                <c:pt idx="0">
                  <c:v>65137.5</c:v>
                </c:pt>
                <c:pt idx="1">
                  <c:v>131793.75</c:v>
                </c:pt>
                <c:pt idx="2">
                  <c:v>125171.25</c:v>
                </c:pt>
                <c:pt idx="3">
                  <c:v>546555</c:v>
                </c:pt>
                <c:pt idx="4">
                  <c:v>538645</c:v>
                </c:pt>
                <c:pt idx="5">
                  <c:v>526856.25</c:v>
                </c:pt>
              </c:numCache>
            </c:numRef>
          </c:val>
          <c:extLst>
            <c:ext xmlns:c16="http://schemas.microsoft.com/office/drawing/2014/chart" uri="{C3380CC4-5D6E-409C-BE32-E72D297353CC}">
              <c16:uniqueId val="{00000003-6B63-45DF-B55B-88903C64525E}"/>
            </c:ext>
          </c:extLst>
        </c:ser>
        <c:ser>
          <c:idx val="4"/>
          <c:order val="4"/>
          <c:tx>
            <c:strRef>
              <c:f>Dashboard!$F$13:$F$15</c:f>
              <c:strCache>
                <c:ptCount val="1"/>
                <c:pt idx="0">
                  <c:v>Government - Sum of Profit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Dashboard!$A$16:$A$22</c:f>
              <c:strCache>
                <c:ptCount val="6"/>
                <c:pt idx="0">
                  <c:v>Amarilla</c:v>
                </c:pt>
                <c:pt idx="1">
                  <c:v>Carretera</c:v>
                </c:pt>
                <c:pt idx="2">
                  <c:v>Montana</c:v>
                </c:pt>
                <c:pt idx="3">
                  <c:v>Paseo</c:v>
                </c:pt>
                <c:pt idx="4">
                  <c:v>Velo</c:v>
                </c:pt>
                <c:pt idx="5">
                  <c:v>VTT</c:v>
                </c:pt>
              </c:strCache>
            </c:strRef>
          </c:cat>
          <c:val>
            <c:numRef>
              <c:f>Dashboard!$F$16:$F$22</c:f>
              <c:numCache>
                <c:formatCode>_-[$$-409]* #,##0.00_ ;_-[$$-409]* \-#,##0.00\ ;_-[$$-409]* "-"??_ ;_-@_ </c:formatCode>
                <c:ptCount val="6"/>
                <c:pt idx="0">
                  <c:v>600997.10999999987</c:v>
                </c:pt>
                <c:pt idx="1">
                  <c:v>498849.5799999999</c:v>
                </c:pt>
                <c:pt idx="2">
                  <c:v>655008.2699999999</c:v>
                </c:pt>
                <c:pt idx="3">
                  <c:v>1370458.46</c:v>
                </c:pt>
                <c:pt idx="4">
                  <c:v>742719.04999999981</c:v>
                </c:pt>
                <c:pt idx="5">
                  <c:v>629346.21000000008</c:v>
                </c:pt>
              </c:numCache>
            </c:numRef>
          </c:val>
          <c:extLst>
            <c:ext xmlns:c16="http://schemas.microsoft.com/office/drawing/2014/chart" uri="{C3380CC4-5D6E-409C-BE32-E72D297353CC}">
              <c16:uniqueId val="{00000004-6B63-45DF-B55B-88903C64525E}"/>
            </c:ext>
          </c:extLst>
        </c:ser>
        <c:ser>
          <c:idx val="5"/>
          <c:order val="5"/>
          <c:tx>
            <c:strRef>
              <c:f>Dashboard!$G$13:$G$15</c:f>
              <c:strCache>
                <c:ptCount val="1"/>
                <c:pt idx="0">
                  <c:v>Government - Sum of Sales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Dashboard!$A$16:$A$22</c:f>
              <c:strCache>
                <c:ptCount val="6"/>
                <c:pt idx="0">
                  <c:v>Amarilla</c:v>
                </c:pt>
                <c:pt idx="1">
                  <c:v>Carretera</c:v>
                </c:pt>
                <c:pt idx="2">
                  <c:v>Montana</c:v>
                </c:pt>
                <c:pt idx="3">
                  <c:v>Paseo</c:v>
                </c:pt>
                <c:pt idx="4">
                  <c:v>Velo</c:v>
                </c:pt>
                <c:pt idx="5">
                  <c:v>VTT</c:v>
                </c:pt>
              </c:strCache>
            </c:strRef>
          </c:cat>
          <c:val>
            <c:numRef>
              <c:f>Dashboard!$G$16:$G$22</c:f>
              <c:numCache>
                <c:formatCode>_-[$$-409]* #,##0.00_ ;_-[$$-409]* \-#,##0.00\ ;_-[$$-409]* "-"??_ ;_-@_ </c:formatCode>
                <c:ptCount val="6"/>
                <c:pt idx="0">
                  <c:v>547569.11</c:v>
                </c:pt>
                <c:pt idx="1">
                  <c:v>565651.08000000007</c:v>
                </c:pt>
                <c:pt idx="2">
                  <c:v>607975.52</c:v>
                </c:pt>
                <c:pt idx="3">
                  <c:v>1346559.96</c:v>
                </c:pt>
                <c:pt idx="4">
                  <c:v>686659.04999999993</c:v>
                </c:pt>
                <c:pt idx="5">
                  <c:v>603553.71000000008</c:v>
                </c:pt>
              </c:numCache>
            </c:numRef>
          </c:val>
          <c:extLst>
            <c:ext xmlns:c16="http://schemas.microsoft.com/office/drawing/2014/chart" uri="{C3380CC4-5D6E-409C-BE32-E72D297353CC}">
              <c16:uniqueId val="{00000005-6B63-45DF-B55B-88903C64525E}"/>
            </c:ext>
          </c:extLst>
        </c:ser>
        <c:ser>
          <c:idx val="6"/>
          <c:order val="6"/>
          <c:tx>
            <c:strRef>
              <c:f>Dashboard!$H$13:$H$15</c:f>
              <c:strCache>
                <c:ptCount val="1"/>
                <c:pt idx="0">
                  <c:v>Midmarket - Sum of Profit</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Dashboard!$A$16:$A$22</c:f>
              <c:strCache>
                <c:ptCount val="6"/>
                <c:pt idx="0">
                  <c:v>Amarilla</c:v>
                </c:pt>
                <c:pt idx="1">
                  <c:v>Carretera</c:v>
                </c:pt>
                <c:pt idx="2">
                  <c:v>Montana</c:v>
                </c:pt>
                <c:pt idx="3">
                  <c:v>Paseo</c:v>
                </c:pt>
                <c:pt idx="4">
                  <c:v>Velo</c:v>
                </c:pt>
                <c:pt idx="5">
                  <c:v>VTT</c:v>
                </c:pt>
              </c:strCache>
            </c:strRef>
          </c:cat>
          <c:val>
            <c:numRef>
              <c:f>Dashboard!$H$16:$H$22</c:f>
              <c:numCache>
                <c:formatCode>_-[$$-409]* #,##0.00_ ;_-[$$-409]* \-#,##0.00\ ;_-[$$-409]* "-"??_ ;_-@_ </c:formatCode>
                <c:ptCount val="6"/>
                <c:pt idx="0">
                  <c:v>63605.459999999992</c:v>
                </c:pt>
                <c:pt idx="1">
                  <c:v>94105</c:v>
                </c:pt>
                <c:pt idx="2">
                  <c:v>83879.05</c:v>
                </c:pt>
                <c:pt idx="3">
                  <c:v>258739.34999999998</c:v>
                </c:pt>
                <c:pt idx="4">
                  <c:v>68653.38</c:v>
                </c:pt>
                <c:pt idx="5">
                  <c:v>91120.85</c:v>
                </c:pt>
              </c:numCache>
            </c:numRef>
          </c:val>
          <c:extLst>
            <c:ext xmlns:c16="http://schemas.microsoft.com/office/drawing/2014/chart" uri="{C3380CC4-5D6E-409C-BE32-E72D297353CC}">
              <c16:uniqueId val="{00000006-6B63-45DF-B55B-88903C64525E}"/>
            </c:ext>
          </c:extLst>
        </c:ser>
        <c:ser>
          <c:idx val="7"/>
          <c:order val="7"/>
          <c:tx>
            <c:strRef>
              <c:f>Dashboard!$I$13:$I$15</c:f>
              <c:strCache>
                <c:ptCount val="1"/>
                <c:pt idx="0">
                  <c:v>Midmarket - Sum of Sales</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Dashboard!$A$16:$A$22</c:f>
              <c:strCache>
                <c:ptCount val="6"/>
                <c:pt idx="0">
                  <c:v>Amarilla</c:v>
                </c:pt>
                <c:pt idx="1">
                  <c:v>Carretera</c:v>
                </c:pt>
                <c:pt idx="2">
                  <c:v>Montana</c:v>
                </c:pt>
                <c:pt idx="3">
                  <c:v>Paseo</c:v>
                </c:pt>
                <c:pt idx="4">
                  <c:v>Velo</c:v>
                </c:pt>
                <c:pt idx="5">
                  <c:v>VTT</c:v>
                </c:pt>
              </c:strCache>
            </c:strRef>
          </c:cat>
          <c:val>
            <c:numRef>
              <c:f>Dashboard!$I$16:$I$22</c:f>
              <c:numCache>
                <c:formatCode>_-[$$-409]* #,##0.00_ ;_-[$$-409]* \-#,##0.00\ ;_-[$$-409]* "-"??_ ;_-@_ </c:formatCode>
                <c:ptCount val="6"/>
                <c:pt idx="0">
                  <c:v>248685.46000000005</c:v>
                </c:pt>
                <c:pt idx="1">
                  <c:v>337305</c:v>
                </c:pt>
                <c:pt idx="2">
                  <c:v>290239.04999999993</c:v>
                </c:pt>
                <c:pt idx="3">
                  <c:v>907729.35</c:v>
                </c:pt>
                <c:pt idx="4">
                  <c:v>264498.38</c:v>
                </c:pt>
                <c:pt idx="5">
                  <c:v>333425.84999999998</c:v>
                </c:pt>
              </c:numCache>
            </c:numRef>
          </c:val>
          <c:extLst>
            <c:ext xmlns:c16="http://schemas.microsoft.com/office/drawing/2014/chart" uri="{C3380CC4-5D6E-409C-BE32-E72D297353CC}">
              <c16:uniqueId val="{00000007-6B63-45DF-B55B-88903C64525E}"/>
            </c:ext>
          </c:extLst>
        </c:ser>
        <c:ser>
          <c:idx val="8"/>
          <c:order val="8"/>
          <c:tx>
            <c:strRef>
              <c:f>Dashboard!$J$13:$J$15</c:f>
              <c:strCache>
                <c:ptCount val="1"/>
                <c:pt idx="0">
                  <c:v>SmallBusiness - Sum of Profit</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Dashboard!$A$16:$A$22</c:f>
              <c:strCache>
                <c:ptCount val="6"/>
                <c:pt idx="0">
                  <c:v>Amarilla</c:v>
                </c:pt>
                <c:pt idx="1">
                  <c:v>Carretera</c:v>
                </c:pt>
                <c:pt idx="2">
                  <c:v>Montana</c:v>
                </c:pt>
                <c:pt idx="3">
                  <c:v>Paseo</c:v>
                </c:pt>
                <c:pt idx="4">
                  <c:v>Velo</c:v>
                </c:pt>
                <c:pt idx="5">
                  <c:v>VTT</c:v>
                </c:pt>
              </c:strCache>
            </c:strRef>
          </c:cat>
          <c:val>
            <c:numRef>
              <c:f>Dashboard!$J$16:$J$22</c:f>
              <c:numCache>
                <c:formatCode>_-[$$-409]* #,##0.00_ ;_-[$$-409]* \-#,##0.00\ ;_-[$$-409]* "-"??_ ;_-@_ </c:formatCode>
                <c:ptCount val="6"/>
                <c:pt idx="0">
                  <c:v>407281</c:v>
                </c:pt>
                <c:pt idx="1">
                  <c:v>348012</c:v>
                </c:pt>
                <c:pt idx="2">
                  <c:v>517760.5</c:v>
                </c:pt>
                <c:pt idx="3">
                  <c:v>983890.5</c:v>
                </c:pt>
                <c:pt idx="4">
                  <c:v>431102.5</c:v>
                </c:pt>
                <c:pt idx="5">
                  <c:v>657946</c:v>
                </c:pt>
              </c:numCache>
            </c:numRef>
          </c:val>
          <c:extLst>
            <c:ext xmlns:c16="http://schemas.microsoft.com/office/drawing/2014/chart" uri="{C3380CC4-5D6E-409C-BE32-E72D297353CC}">
              <c16:uniqueId val="{00000008-6B63-45DF-B55B-88903C64525E}"/>
            </c:ext>
          </c:extLst>
        </c:ser>
        <c:ser>
          <c:idx val="9"/>
          <c:order val="9"/>
          <c:tx>
            <c:strRef>
              <c:f>Dashboard!$K$13:$K$15</c:f>
              <c:strCache>
                <c:ptCount val="1"/>
                <c:pt idx="0">
                  <c:v>SmallBusiness - Sum of Sales</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Dashboard!$A$16:$A$22</c:f>
              <c:strCache>
                <c:ptCount val="6"/>
                <c:pt idx="0">
                  <c:v>Amarilla</c:v>
                </c:pt>
                <c:pt idx="1">
                  <c:v>Carretera</c:v>
                </c:pt>
                <c:pt idx="2">
                  <c:v>Montana</c:v>
                </c:pt>
                <c:pt idx="3">
                  <c:v>Paseo</c:v>
                </c:pt>
                <c:pt idx="4">
                  <c:v>Velo</c:v>
                </c:pt>
                <c:pt idx="5">
                  <c:v>VTT</c:v>
                </c:pt>
              </c:strCache>
            </c:strRef>
          </c:cat>
          <c:val>
            <c:numRef>
              <c:f>Dashboard!$K$16:$K$22</c:f>
              <c:numCache>
                <c:formatCode>_-[$$-409]* #,##0.00_ ;_-[$$-409]* \-#,##0.00\ ;_-[$$-409]* "-"??_ ;_-@_ </c:formatCode>
                <c:ptCount val="6"/>
                <c:pt idx="0">
                  <c:v>76146</c:v>
                </c:pt>
                <c:pt idx="1">
                  <c:v>62916</c:v>
                </c:pt>
                <c:pt idx="2">
                  <c:v>179088</c:v>
                </c:pt>
                <c:pt idx="3">
                  <c:v>0</c:v>
                </c:pt>
                <c:pt idx="4">
                  <c:v>69402</c:v>
                </c:pt>
                <c:pt idx="5">
                  <c:v>132318</c:v>
                </c:pt>
              </c:numCache>
            </c:numRef>
          </c:val>
          <c:extLst>
            <c:ext xmlns:c16="http://schemas.microsoft.com/office/drawing/2014/chart" uri="{C3380CC4-5D6E-409C-BE32-E72D297353CC}">
              <c16:uniqueId val="{00000009-6B63-45DF-B55B-88903C64525E}"/>
            </c:ext>
          </c:extLst>
        </c:ser>
        <c:dLbls>
          <c:showLegendKey val="0"/>
          <c:showVal val="0"/>
          <c:showCatName val="0"/>
          <c:showSerName val="0"/>
          <c:showPercent val="0"/>
          <c:showBubbleSize val="0"/>
        </c:dLbls>
        <c:gapWidth val="150"/>
        <c:overlap val="100"/>
        <c:axId val="1521483152"/>
        <c:axId val="1521486992"/>
      </c:barChart>
      <c:catAx>
        <c:axId val="1521483152"/>
        <c:scaling>
          <c:orientation val="minMax"/>
        </c:scaling>
        <c:delete val="1"/>
        <c:axPos val="b"/>
        <c:numFmt formatCode="General" sourceLinked="1"/>
        <c:majorTickMark val="none"/>
        <c:minorTickMark val="none"/>
        <c:tickLblPos val="nextTo"/>
        <c:crossAx val="1521486992"/>
        <c:crosses val="autoZero"/>
        <c:auto val="1"/>
        <c:lblAlgn val="ctr"/>
        <c:lblOffset val="100"/>
        <c:noMultiLvlLbl val="0"/>
      </c:catAx>
      <c:valAx>
        <c:axId val="1521486992"/>
        <c:scaling>
          <c:orientation val="minMax"/>
        </c:scaling>
        <c:delete val="0"/>
        <c:axPos val="l"/>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1483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220338</xdr:colOff>
      <xdr:row>0</xdr:row>
      <xdr:rowOff>1</xdr:rowOff>
    </xdr:from>
    <xdr:to>
      <xdr:col>5</xdr:col>
      <xdr:colOff>945615</xdr:colOff>
      <xdr:row>11</xdr:row>
      <xdr:rowOff>18362</xdr:rowOff>
    </xdr:to>
    <xdr:graphicFrame macro="">
      <xdr:nvGraphicFramePr>
        <xdr:cNvPr id="2" name="Chart 1">
          <a:extLst>
            <a:ext uri="{FF2B5EF4-FFF2-40B4-BE49-F238E27FC236}">
              <a16:creationId xmlns:a16="http://schemas.microsoft.com/office/drawing/2014/main" id="{CEB2C154-FEC7-74A3-3DD7-966AE064E8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908892</xdr:colOff>
      <xdr:row>0</xdr:row>
      <xdr:rowOff>91807</xdr:rowOff>
    </xdr:from>
    <xdr:to>
      <xdr:col>10</xdr:col>
      <xdr:colOff>257060</xdr:colOff>
      <xdr:row>11</xdr:row>
      <xdr:rowOff>18361</xdr:rowOff>
    </xdr:to>
    <xdr:graphicFrame macro="">
      <xdr:nvGraphicFramePr>
        <xdr:cNvPr id="4" name="Chart 3">
          <a:extLst>
            <a:ext uri="{FF2B5EF4-FFF2-40B4-BE49-F238E27FC236}">
              <a16:creationId xmlns:a16="http://schemas.microsoft.com/office/drawing/2014/main" id="{87F9DE29-1D3F-523F-CF2E-58D1DFD4AE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43608</xdr:colOff>
      <xdr:row>21</xdr:row>
      <xdr:rowOff>177188</xdr:rowOff>
    </xdr:from>
    <xdr:to>
      <xdr:col>4</xdr:col>
      <xdr:colOff>825806</xdr:colOff>
      <xdr:row>35</xdr:row>
      <xdr:rowOff>73561</xdr:rowOff>
    </xdr:to>
    <mc:AlternateContent xmlns:mc="http://schemas.openxmlformats.org/markup-compatibility/2006">
      <mc:Choice xmlns:a14="http://schemas.microsoft.com/office/drawing/2010/main" Requires="a14">
        <xdr:graphicFrame macro="">
          <xdr:nvGraphicFramePr>
            <xdr:cNvPr id="5" name="MonthName">
              <a:extLst>
                <a:ext uri="{FF2B5EF4-FFF2-40B4-BE49-F238E27FC236}">
                  <a16:creationId xmlns:a16="http://schemas.microsoft.com/office/drawing/2014/main" id="{AC9C0093-7383-1346-5293-89B360BF7C81}"/>
                </a:ext>
              </a:extLst>
            </xdr:cNvPr>
            <xdr:cNvGraphicFramePr/>
          </xdr:nvGraphicFramePr>
          <xdr:xfrm>
            <a:off x="0" y="0"/>
            <a:ext cx="0" cy="0"/>
          </xdr:xfrm>
          <a:graphic>
            <a:graphicData uri="http://schemas.microsoft.com/office/drawing/2010/slicer">
              <sle:slicer xmlns:sle="http://schemas.microsoft.com/office/drawing/2010/slicer" name="MonthName"/>
            </a:graphicData>
          </a:graphic>
        </xdr:graphicFrame>
      </mc:Choice>
      <mc:Fallback>
        <xdr:sp macro="" textlink="">
          <xdr:nvSpPr>
            <xdr:cNvPr id="0" name=""/>
            <xdr:cNvSpPr>
              <a:spLocks noTextEdit="1"/>
            </xdr:cNvSpPr>
          </xdr:nvSpPr>
          <xdr:spPr>
            <a:xfrm>
              <a:off x="3624090" y="4033092"/>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110536</xdr:colOff>
      <xdr:row>22</xdr:row>
      <xdr:rowOff>5417</xdr:rowOff>
    </xdr:from>
    <xdr:to>
      <xdr:col>6</xdr:col>
      <xdr:colOff>791746</xdr:colOff>
      <xdr:row>35</xdr:row>
      <xdr:rowOff>85404</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DAB350C6-EB7A-28F9-CC77-49482FB57B2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885211" y="4044935"/>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xora Technology" refreshedDate="46176.808897916664" createdVersion="8" refreshedVersion="8" minRefreshableVersion="3" recordCount="700" xr:uid="{F535549C-7EAC-4D82-8340-B6219995C001}">
  <cacheSource type="worksheet">
    <worksheetSource name="Table1"/>
  </cacheSource>
  <cacheFields count="17">
    <cacheField name="Segment" numFmtId="49">
      <sharedItems count="5">
        <s v="Government"/>
        <s v="Midmarket"/>
        <s v="ChannelPartners"/>
        <s v="Enterprise"/>
        <s v="SmallBusiness"/>
      </sharedItems>
    </cacheField>
    <cacheField name="Country" numFmtId="49">
      <sharedItems count="5">
        <s v="Canada"/>
        <s v="Germany"/>
        <s v="France"/>
        <s v="Mexico"/>
        <s v="UnitedStatesofAmerica"/>
      </sharedItems>
    </cacheField>
    <cacheField name="Product" numFmtId="49">
      <sharedItems count="6">
        <s v="Carretera"/>
        <s v="Montana"/>
        <s v="Paseo"/>
        <s v="Velo"/>
        <s v="VTT"/>
        <s v="Amarilla"/>
      </sharedItems>
    </cacheField>
    <cacheField name="DiscountBand" numFmtId="49">
      <sharedItems/>
    </cacheField>
    <cacheField name="UnitsSold" numFmtId="1">
      <sharedItems containsSemiMixedTypes="0" containsString="0" containsNumber="1" minValue="200" maxValue="4492.5"/>
    </cacheField>
    <cacheField name="ManufacturingPrice" numFmtId="170">
      <sharedItems/>
    </cacheField>
    <cacheField name="SalePrice" numFmtId="170">
      <sharedItems containsSemiMixedTypes="0" containsString="0" containsNumber="1" containsInteger="1" minValue="7" maxValue="350"/>
    </cacheField>
    <cacheField name="GrossSales" numFmtId="170">
      <sharedItems/>
    </cacheField>
    <cacheField name="Discounts" numFmtId="170">
      <sharedItems/>
    </cacheField>
    <cacheField name="Sales" numFmtId="170">
      <sharedItems containsMixedTypes="1" containsNumber="1" minValue="1655.08" maxValue="99758.75"/>
    </cacheField>
    <cacheField name="COGS" numFmtId="170">
      <sharedItems/>
    </cacheField>
    <cacheField name="Profit" numFmtId="170">
      <sharedItems containsBlank="1" containsMixedTypes="1" containsNumber="1" minValue="285.60000000000002" maxValue="99814.5"/>
    </cacheField>
    <cacheField name="Date" numFmtId="14">
      <sharedItems containsSemiMixedTypes="0" containsNonDate="0" containsDate="1" containsString="0" minDate="2013-09-01T00:00:00" maxDate="2014-12-02T00:00:00"/>
    </cacheField>
    <cacheField name="MonthNumber" numFmtId="1">
      <sharedItems containsSemiMixedTypes="0" containsString="0" containsNumber="1" containsInteger="1" minValue="1" maxValue="12"/>
    </cacheField>
    <cacheField name="MonthName" numFmtId="49">
      <sharedItems count="12">
        <s v="January"/>
        <s v="June"/>
        <s v="December"/>
        <s v="March"/>
        <s v="July"/>
        <s v="August"/>
        <s v="September"/>
        <s v="October"/>
        <s v="February"/>
        <s v="November"/>
        <s v="April"/>
        <s v="May"/>
      </sharedItems>
    </cacheField>
    <cacheField name="Year" numFmtId="1">
      <sharedItems containsSemiMixedTypes="0" containsString="0" containsNumber="1" containsInteger="1" minValue="2013" maxValue="2014" count="2">
        <n v="2014"/>
        <n v="2013"/>
      </sharedItems>
    </cacheField>
    <cacheField name="order size" numFmtId="0">
      <sharedItems/>
    </cacheField>
  </cacheFields>
  <extLst>
    <ext xmlns:x14="http://schemas.microsoft.com/office/spreadsheetml/2009/9/main" uri="{725AE2AE-9491-48be-B2B4-4EB974FC3084}">
      <x14:pivotCacheDefinition pivotCacheId="13958915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s v="None"/>
    <n v="1618.5"/>
    <s v="$3.00"/>
    <n v="20"/>
    <s v="$32,370.00"/>
    <s v="$-"/>
    <n v="32370"/>
    <s v="$16,185.00"/>
    <n v="16185"/>
    <d v="2014-01-01T00:00:00"/>
    <n v="1"/>
    <x v="0"/>
    <x v="0"/>
    <s v="Midium"/>
  </r>
  <r>
    <x v="0"/>
    <x v="1"/>
    <x v="0"/>
    <s v="None"/>
    <n v="1321"/>
    <s v="$3.00"/>
    <n v="20"/>
    <s v="$26,420.00"/>
    <s v="$-"/>
    <n v="26420"/>
    <s v="$13,210.00"/>
    <n v="13210"/>
    <d v="2014-01-01T00:00:00"/>
    <n v="1"/>
    <x v="0"/>
    <x v="0"/>
    <s v="Small"/>
  </r>
  <r>
    <x v="1"/>
    <x v="2"/>
    <x v="0"/>
    <s v="None"/>
    <n v="2178"/>
    <s v="$3.00"/>
    <n v="15"/>
    <s v="$32,670.00"/>
    <s v="$-"/>
    <n v="32670"/>
    <s v="$21,780.00"/>
    <n v="10890"/>
    <d v="2014-06-01T00:00:00"/>
    <n v="6"/>
    <x v="1"/>
    <x v="0"/>
    <s v="Midium"/>
  </r>
  <r>
    <x v="1"/>
    <x v="1"/>
    <x v="0"/>
    <s v="None"/>
    <n v="888"/>
    <s v="$3.00"/>
    <n v="15"/>
    <s v="$13,320.00"/>
    <s v="$-"/>
    <n v="13320"/>
    <s v="$8,880.00"/>
    <n v="4440"/>
    <d v="2014-06-01T00:00:00"/>
    <n v="6"/>
    <x v="1"/>
    <x v="0"/>
    <s v="Small"/>
  </r>
  <r>
    <x v="1"/>
    <x v="3"/>
    <x v="0"/>
    <s v="None"/>
    <n v="2470"/>
    <s v="$3.00"/>
    <n v="15"/>
    <s v="$37,050.00"/>
    <s v="$-"/>
    <n v="37050"/>
    <s v="$24,700.00"/>
    <n v="12350"/>
    <d v="2014-06-01T00:00:00"/>
    <n v="6"/>
    <x v="1"/>
    <x v="0"/>
    <s v="Midium"/>
  </r>
  <r>
    <x v="0"/>
    <x v="1"/>
    <x v="0"/>
    <s v="None"/>
    <n v="1513"/>
    <s v="$3.00"/>
    <n v="350"/>
    <s v="$5,29,550.00"/>
    <s v="$-"/>
    <s v="5,29,550.00"/>
    <s v="$3,93,380.00"/>
    <s v="1,36,170.00"/>
    <d v="2014-12-01T00:00:00"/>
    <n v="12"/>
    <x v="2"/>
    <x v="0"/>
    <s v="Midium"/>
  </r>
  <r>
    <x v="1"/>
    <x v="1"/>
    <x v="1"/>
    <s v="None"/>
    <n v="921"/>
    <s v="$5.00"/>
    <n v="15"/>
    <s v="$13,815.00"/>
    <s v="$-"/>
    <n v="13815"/>
    <s v="$9,210.00"/>
    <n v="4605"/>
    <d v="2014-03-01T00:00:00"/>
    <n v="3"/>
    <x v="3"/>
    <x v="0"/>
    <s v="Small"/>
  </r>
  <r>
    <x v="2"/>
    <x v="0"/>
    <x v="1"/>
    <s v="None"/>
    <n v="2518"/>
    <s v="$5.00"/>
    <n v="12"/>
    <s v="$30,216.00"/>
    <s v="$-"/>
    <n v="30216"/>
    <s v="$7,554.00"/>
    <n v="22662"/>
    <d v="2014-06-01T00:00:00"/>
    <n v="6"/>
    <x v="1"/>
    <x v="0"/>
    <s v="Midium"/>
  </r>
  <r>
    <x v="0"/>
    <x v="2"/>
    <x v="1"/>
    <s v="None"/>
    <n v="1899"/>
    <s v="$5.00"/>
    <n v="20"/>
    <s v="$37,980.00"/>
    <s v="$-"/>
    <n v="37980"/>
    <s v="$18,990.00"/>
    <n v="18990"/>
    <d v="2014-06-01T00:00:00"/>
    <n v="6"/>
    <x v="1"/>
    <x v="0"/>
    <s v="Midium"/>
  </r>
  <r>
    <x v="2"/>
    <x v="1"/>
    <x v="1"/>
    <s v="None"/>
    <n v="1545"/>
    <s v="$5.00"/>
    <n v="12"/>
    <s v="$18,540.00"/>
    <s v="$-"/>
    <n v="18540"/>
    <s v="$4,635.00"/>
    <n v="13905"/>
    <d v="2014-06-01T00:00:00"/>
    <n v="6"/>
    <x v="1"/>
    <x v="0"/>
    <s v="Midium"/>
  </r>
  <r>
    <x v="1"/>
    <x v="3"/>
    <x v="1"/>
    <s v="None"/>
    <n v="2470"/>
    <s v="$5.00"/>
    <n v="15"/>
    <s v="$37,050.00"/>
    <s v="$-"/>
    <n v="37050"/>
    <s v="$24,700.00"/>
    <n v="12350"/>
    <d v="2014-06-01T00:00:00"/>
    <n v="6"/>
    <x v="1"/>
    <x v="0"/>
    <s v="Midium"/>
  </r>
  <r>
    <x v="3"/>
    <x v="0"/>
    <x v="1"/>
    <s v="None"/>
    <n v="2665.5"/>
    <s v="$5.00"/>
    <n v="125"/>
    <s v="$3,33,187.50"/>
    <s v="$-"/>
    <s v="3,33,187.50"/>
    <s v="$3,19,860.00"/>
    <n v="13327.5"/>
    <d v="2014-07-01T00:00:00"/>
    <n v="7"/>
    <x v="4"/>
    <x v="0"/>
    <s v="Midium"/>
  </r>
  <r>
    <x v="4"/>
    <x v="3"/>
    <x v="1"/>
    <s v="None"/>
    <n v="958"/>
    <s v="$5.00"/>
    <n v="300"/>
    <s v="$2,87,400.00"/>
    <s v="$-"/>
    <s v="2,87,400.00"/>
    <s v="$2,39,500.00"/>
    <n v="47900"/>
    <d v="2014-08-01T00:00:00"/>
    <n v="8"/>
    <x v="5"/>
    <x v="0"/>
    <s v="Small"/>
  </r>
  <r>
    <x v="0"/>
    <x v="1"/>
    <x v="1"/>
    <s v="None"/>
    <n v="2146"/>
    <s v="$5.00"/>
    <n v="7"/>
    <s v="$15,022.00"/>
    <s v="$-"/>
    <n v="15022"/>
    <s v="$10,730.00"/>
    <n v="4292"/>
    <d v="2014-09-01T00:00:00"/>
    <n v="9"/>
    <x v="6"/>
    <x v="0"/>
    <s v="Midium"/>
  </r>
  <r>
    <x v="3"/>
    <x v="0"/>
    <x v="1"/>
    <s v="None"/>
    <n v="345"/>
    <s v="$5.00"/>
    <n v="125"/>
    <s v="$43,125.00"/>
    <s v="$-"/>
    <n v="43125"/>
    <s v="$41,400.00"/>
    <n v="1725"/>
    <d v="2013-10-01T00:00:00"/>
    <n v="10"/>
    <x v="7"/>
    <x v="1"/>
    <s v="Small"/>
  </r>
  <r>
    <x v="1"/>
    <x v="4"/>
    <x v="1"/>
    <s v="None"/>
    <n v="615"/>
    <s v="$5.00"/>
    <n v="15"/>
    <s v="$9,225.00"/>
    <s v="$-"/>
    <n v="9225"/>
    <s v="$6,150.00"/>
    <n v="3075"/>
    <d v="2014-12-01T00:00:00"/>
    <n v="12"/>
    <x v="2"/>
    <x v="0"/>
    <s v="Small"/>
  </r>
  <r>
    <x v="0"/>
    <x v="0"/>
    <x v="2"/>
    <s v="None"/>
    <n v="292"/>
    <s v="$10.00"/>
    <n v="20"/>
    <s v="$5,840.00"/>
    <s v="$-"/>
    <n v="5840"/>
    <s v="$2,920.00"/>
    <n v="2920"/>
    <d v="2014-02-01T00:00:00"/>
    <n v="2"/>
    <x v="8"/>
    <x v="0"/>
    <s v="Small"/>
  </r>
  <r>
    <x v="1"/>
    <x v="3"/>
    <x v="2"/>
    <s v="None"/>
    <n v="974"/>
    <s v="$10.00"/>
    <n v="15"/>
    <s v="$14,610.00"/>
    <s v="$-"/>
    <n v="14610"/>
    <s v="$9,740.00"/>
    <n v="4870"/>
    <d v="2014-02-01T00:00:00"/>
    <n v="2"/>
    <x v="8"/>
    <x v="0"/>
    <s v="Small"/>
  </r>
  <r>
    <x v="2"/>
    <x v="0"/>
    <x v="2"/>
    <s v="None"/>
    <n v="2518"/>
    <s v="$10.00"/>
    <n v="12"/>
    <s v="$30,216.00"/>
    <s v="$-"/>
    <n v="30216"/>
    <s v="$7,554.00"/>
    <n v="22662"/>
    <d v="2014-06-01T00:00:00"/>
    <n v="6"/>
    <x v="1"/>
    <x v="0"/>
    <s v="Midium"/>
  </r>
  <r>
    <x v="0"/>
    <x v="1"/>
    <x v="2"/>
    <s v="None"/>
    <n v="1006"/>
    <s v="$10.00"/>
    <n v="350"/>
    <s v="$3,52,100.00"/>
    <s v="$-"/>
    <s v="3,52,100.00"/>
    <s v="$2,61,560.00"/>
    <n v="90540"/>
    <d v="2014-06-01T00:00:00"/>
    <n v="6"/>
    <x v="1"/>
    <x v="0"/>
    <s v="Small"/>
  </r>
  <r>
    <x v="2"/>
    <x v="1"/>
    <x v="2"/>
    <s v="None"/>
    <n v="367"/>
    <s v="$10.00"/>
    <n v="12"/>
    <s v="$4,404.00"/>
    <s v="$-"/>
    <n v="4404"/>
    <s v="$1,101.00"/>
    <n v="3303"/>
    <d v="2014-07-01T00:00:00"/>
    <n v="7"/>
    <x v="4"/>
    <x v="0"/>
    <s v="Small"/>
  </r>
  <r>
    <x v="0"/>
    <x v="3"/>
    <x v="2"/>
    <s v="None"/>
    <n v="883"/>
    <s v="$10.00"/>
    <n v="7"/>
    <s v="$6,181.00"/>
    <s v="$-"/>
    <n v="6181"/>
    <s v="$4,415.00"/>
    <n v="1766"/>
    <d v="2014-08-01T00:00:00"/>
    <n v="8"/>
    <x v="5"/>
    <x v="0"/>
    <s v="Small"/>
  </r>
  <r>
    <x v="1"/>
    <x v="2"/>
    <x v="2"/>
    <s v="None"/>
    <n v="549"/>
    <s v="$10.00"/>
    <n v="15"/>
    <s v="$8,235.00"/>
    <s v="$-"/>
    <n v="8235"/>
    <s v="$5,490.00"/>
    <n v="2745"/>
    <d v="2013-09-01T00:00:00"/>
    <n v="9"/>
    <x v="6"/>
    <x v="1"/>
    <s v="Small"/>
  </r>
  <r>
    <x v="4"/>
    <x v="3"/>
    <x v="2"/>
    <s v="None"/>
    <n v="788"/>
    <s v="$10.00"/>
    <n v="300"/>
    <s v="$2,36,400.00"/>
    <s v="$-"/>
    <s v="2,36,400.00"/>
    <s v="$1,97,000.00"/>
    <n v="39400"/>
    <d v="2013-09-01T00:00:00"/>
    <n v="9"/>
    <x v="6"/>
    <x v="1"/>
    <s v="Small"/>
  </r>
  <r>
    <x v="1"/>
    <x v="3"/>
    <x v="2"/>
    <s v="None"/>
    <n v="2472"/>
    <s v="$10.00"/>
    <n v="15"/>
    <s v="$37,080.00"/>
    <s v="$-"/>
    <n v="37080"/>
    <s v="$24,720.00"/>
    <n v="12360"/>
    <d v="2014-09-01T00:00:00"/>
    <n v="9"/>
    <x v="6"/>
    <x v="0"/>
    <s v="Midium"/>
  </r>
  <r>
    <x v="0"/>
    <x v="4"/>
    <x v="2"/>
    <s v="None"/>
    <n v="1143"/>
    <s v="$10.00"/>
    <n v="7"/>
    <s v="$8,001.00"/>
    <s v="$-"/>
    <n v="8001"/>
    <s v="$5,715.00"/>
    <n v="2286"/>
    <d v="2014-10-01T00:00:00"/>
    <n v="10"/>
    <x v="7"/>
    <x v="0"/>
    <s v="Small"/>
  </r>
  <r>
    <x v="0"/>
    <x v="0"/>
    <x v="2"/>
    <s v="None"/>
    <n v="1725"/>
    <s v="$10.00"/>
    <n v="350"/>
    <s v="$6,03,750.00"/>
    <s v="$-"/>
    <s v="6,03,750.00"/>
    <s v="$4,48,500.00"/>
    <s v="1,55,250.00"/>
    <d v="2013-11-01T00:00:00"/>
    <n v="11"/>
    <x v="9"/>
    <x v="1"/>
    <s v="Midium"/>
  </r>
  <r>
    <x v="2"/>
    <x v="4"/>
    <x v="2"/>
    <s v="None"/>
    <n v="912"/>
    <s v="$10.00"/>
    <n v="12"/>
    <s v="$10,944.00"/>
    <s v="$-"/>
    <n v="10944"/>
    <s v="$2,736.00"/>
    <n v="8208"/>
    <d v="2013-11-01T00:00:00"/>
    <n v="11"/>
    <x v="9"/>
    <x v="1"/>
    <s v="Small"/>
  </r>
  <r>
    <x v="1"/>
    <x v="0"/>
    <x v="2"/>
    <s v="None"/>
    <n v="2152"/>
    <s v="$10.00"/>
    <n v="15"/>
    <s v="$32,280.00"/>
    <s v="$-"/>
    <n v="32280"/>
    <s v="$21,520.00"/>
    <n v="10760"/>
    <d v="2013-12-01T00:00:00"/>
    <n v="12"/>
    <x v="2"/>
    <x v="1"/>
    <s v="Midium"/>
  </r>
  <r>
    <x v="0"/>
    <x v="0"/>
    <x v="2"/>
    <s v="None"/>
    <n v="1817"/>
    <s v="$10.00"/>
    <n v="20"/>
    <s v="$36,340.00"/>
    <s v="$-"/>
    <n v="36340"/>
    <s v="$18,170.00"/>
    <n v="18170"/>
    <d v="2014-12-01T00:00:00"/>
    <n v="12"/>
    <x v="2"/>
    <x v="0"/>
    <s v="Midium"/>
  </r>
  <r>
    <x v="0"/>
    <x v="1"/>
    <x v="2"/>
    <s v="None"/>
    <n v="1513"/>
    <s v="$10.00"/>
    <n v="350"/>
    <s v="$5,29,550.00"/>
    <s v="$-"/>
    <s v="5,29,550.00"/>
    <s v="$3,93,380.00"/>
    <s v="1,36,170.00"/>
    <d v="2014-12-01T00:00:00"/>
    <n v="12"/>
    <x v="2"/>
    <x v="0"/>
    <s v="Midium"/>
  </r>
  <r>
    <x v="0"/>
    <x v="3"/>
    <x v="3"/>
    <s v="None"/>
    <n v="1493"/>
    <s v="$120.00"/>
    <n v="7"/>
    <s v="$10,451.00"/>
    <s v="$-"/>
    <n v="10451"/>
    <s v="$7,465.00"/>
    <n v="2986"/>
    <d v="2014-01-01T00:00:00"/>
    <n v="1"/>
    <x v="0"/>
    <x v="0"/>
    <s v="Small"/>
  </r>
  <r>
    <x v="3"/>
    <x v="2"/>
    <x v="3"/>
    <s v="None"/>
    <n v="1804"/>
    <s v="$120.00"/>
    <n v="125"/>
    <s v="$2,25,500.00"/>
    <s v="$-"/>
    <s v="2,25,500.00"/>
    <s v="$2,16,480.00"/>
    <n v="9020"/>
    <d v="2014-02-01T00:00:00"/>
    <n v="2"/>
    <x v="8"/>
    <x v="0"/>
    <s v="Midium"/>
  </r>
  <r>
    <x v="2"/>
    <x v="1"/>
    <x v="3"/>
    <s v="None"/>
    <n v="2161"/>
    <s v="$120.00"/>
    <n v="12"/>
    <s v="$25,932.00"/>
    <s v="$-"/>
    <n v="25932"/>
    <s v="$6,483.00"/>
    <n v="19449"/>
    <d v="2014-03-01T00:00:00"/>
    <n v="3"/>
    <x v="3"/>
    <x v="0"/>
    <s v="Midium"/>
  </r>
  <r>
    <x v="0"/>
    <x v="1"/>
    <x v="3"/>
    <s v="None"/>
    <n v="1006"/>
    <s v="$120.00"/>
    <n v="350"/>
    <s v="$3,52,100.00"/>
    <s v="$-"/>
    <s v="3,52,100.00"/>
    <s v="$2,61,560.00"/>
    <n v="90540"/>
    <d v="2014-06-01T00:00:00"/>
    <n v="6"/>
    <x v="1"/>
    <x v="0"/>
    <s v="Small"/>
  </r>
  <r>
    <x v="2"/>
    <x v="1"/>
    <x v="3"/>
    <s v="None"/>
    <n v="1545"/>
    <s v="$120.00"/>
    <n v="12"/>
    <s v="$18,540.00"/>
    <s v="$-"/>
    <n v="18540"/>
    <s v="$4,635.00"/>
    <n v="13905"/>
    <d v="2014-06-01T00:00:00"/>
    <n v="6"/>
    <x v="1"/>
    <x v="0"/>
    <s v="Midium"/>
  </r>
  <r>
    <x v="3"/>
    <x v="4"/>
    <x v="3"/>
    <s v="None"/>
    <n v="2821"/>
    <s v="$120.00"/>
    <n v="125"/>
    <s v="$3,52,625.00"/>
    <s v="$-"/>
    <s v="3,52,625.00"/>
    <s v="$3,38,520.00"/>
    <n v="14105"/>
    <d v="2014-08-01T00:00:00"/>
    <n v="8"/>
    <x v="5"/>
    <x v="0"/>
    <s v="Midium"/>
  </r>
  <r>
    <x v="3"/>
    <x v="0"/>
    <x v="3"/>
    <s v="None"/>
    <n v="345"/>
    <s v="$120.00"/>
    <n v="125"/>
    <s v="$43,125.00"/>
    <s v="$-"/>
    <n v="43125"/>
    <s v="$41,400.00"/>
    <n v="1725"/>
    <d v="2013-10-01T00:00:00"/>
    <n v="10"/>
    <x v="7"/>
    <x v="1"/>
    <s v="Small"/>
  </r>
  <r>
    <x v="4"/>
    <x v="0"/>
    <x v="4"/>
    <s v="None"/>
    <n v="2001"/>
    <s v="$250.00"/>
    <n v="300"/>
    <s v="$6,00,300.00"/>
    <s v="$-"/>
    <s v="6,00,300.00"/>
    <s v="$5,00,250.00"/>
    <s v="1,00,050.00"/>
    <d v="2014-02-01T00:00:00"/>
    <n v="2"/>
    <x v="8"/>
    <x v="0"/>
    <s v="Midium"/>
  </r>
  <r>
    <x v="2"/>
    <x v="1"/>
    <x v="4"/>
    <s v="None"/>
    <n v="2838"/>
    <s v="$250.00"/>
    <n v="12"/>
    <s v="$34,056.00"/>
    <s v="$-"/>
    <n v="34056"/>
    <s v="$8,514.00"/>
    <n v="25542"/>
    <d v="2014-04-01T00:00:00"/>
    <n v="4"/>
    <x v="10"/>
    <x v="0"/>
    <s v="Midium"/>
  </r>
  <r>
    <x v="1"/>
    <x v="2"/>
    <x v="4"/>
    <s v="None"/>
    <n v="2178"/>
    <s v="$250.00"/>
    <n v="15"/>
    <s v="$32,670.00"/>
    <s v="$-"/>
    <n v="32670"/>
    <s v="$21,780.00"/>
    <n v="10890"/>
    <d v="2014-06-01T00:00:00"/>
    <n v="6"/>
    <x v="1"/>
    <x v="0"/>
    <s v="Midium"/>
  </r>
  <r>
    <x v="1"/>
    <x v="1"/>
    <x v="4"/>
    <s v="None"/>
    <n v="888"/>
    <s v="$250.00"/>
    <n v="15"/>
    <s v="$13,320.00"/>
    <s v="$-"/>
    <n v="13320"/>
    <s v="$8,880.00"/>
    <n v="4440"/>
    <d v="2014-06-01T00:00:00"/>
    <n v="6"/>
    <x v="1"/>
    <x v="0"/>
    <s v="Small"/>
  </r>
  <r>
    <x v="0"/>
    <x v="2"/>
    <x v="4"/>
    <s v="None"/>
    <n v="1527"/>
    <s v="$250.00"/>
    <n v="350"/>
    <s v="$5,34,450.00"/>
    <s v="$-"/>
    <s v="5,34,450.00"/>
    <s v="$3,97,020.00"/>
    <s v="1,37,430.00"/>
    <d v="2013-09-01T00:00:00"/>
    <n v="9"/>
    <x v="6"/>
    <x v="1"/>
    <s v="Midium"/>
  </r>
  <r>
    <x v="4"/>
    <x v="2"/>
    <x v="4"/>
    <s v="None"/>
    <n v="2151"/>
    <s v="$250.00"/>
    <n v="300"/>
    <s v="$6,45,300.00"/>
    <s v="$-"/>
    <s v="6,45,300.00"/>
    <s v="$5,37,750.00"/>
    <s v="1,07,550.00"/>
    <d v="2014-09-01T00:00:00"/>
    <n v="9"/>
    <x v="6"/>
    <x v="0"/>
    <s v="Midium"/>
  </r>
  <r>
    <x v="0"/>
    <x v="0"/>
    <x v="4"/>
    <s v="None"/>
    <n v="1817"/>
    <s v="$250.00"/>
    <n v="20"/>
    <s v="$36,340.00"/>
    <s v="$-"/>
    <n v="36340"/>
    <s v="$18,170.00"/>
    <n v="18170"/>
    <d v="2014-12-01T00:00:00"/>
    <n v="12"/>
    <x v="2"/>
    <x v="0"/>
    <s v="Midium"/>
  </r>
  <r>
    <x v="0"/>
    <x v="2"/>
    <x v="5"/>
    <s v="None"/>
    <n v="2750"/>
    <s v="$260.00"/>
    <n v="350"/>
    <s v="$9,62,500.00"/>
    <s v="$-"/>
    <s v="9,62,500.00"/>
    <s v="$7,15,000.00"/>
    <s v="2,47,500.00"/>
    <d v="2014-02-01T00:00:00"/>
    <n v="2"/>
    <x v="8"/>
    <x v="0"/>
    <s v="Midium"/>
  </r>
  <r>
    <x v="2"/>
    <x v="4"/>
    <x v="5"/>
    <s v="None"/>
    <n v="1953"/>
    <s v="$260.00"/>
    <n v="12"/>
    <s v="$23,436.00"/>
    <s v="$-"/>
    <n v="23436"/>
    <s v="$5,859.00"/>
    <n v="17577"/>
    <d v="2014-04-01T00:00:00"/>
    <n v="4"/>
    <x v="10"/>
    <x v="0"/>
    <s v="Midium"/>
  </r>
  <r>
    <x v="3"/>
    <x v="1"/>
    <x v="5"/>
    <s v="None"/>
    <n v="4219.5"/>
    <s v="$260.00"/>
    <n v="125"/>
    <s v="$5,27,437.50"/>
    <s v="$-"/>
    <s v="5,27,437.50"/>
    <s v="$5,06,340.00"/>
    <n v="21097.5"/>
    <d v="2014-04-01T00:00:00"/>
    <n v="4"/>
    <x v="10"/>
    <x v="0"/>
    <s v="Large"/>
  </r>
  <r>
    <x v="0"/>
    <x v="2"/>
    <x v="5"/>
    <s v="None"/>
    <n v="1899"/>
    <s v="$260.00"/>
    <n v="20"/>
    <s v="$37,980.00"/>
    <s v="$-"/>
    <n v="37980"/>
    <s v="$18,990.00"/>
    <n v="18990"/>
    <d v="2014-06-01T00:00:00"/>
    <n v="6"/>
    <x v="1"/>
    <x v="0"/>
    <s v="Midium"/>
  </r>
  <r>
    <x v="0"/>
    <x v="1"/>
    <x v="5"/>
    <s v="None"/>
    <n v="1686"/>
    <s v="$260.00"/>
    <n v="7"/>
    <s v="$11,802.00"/>
    <s v="$-"/>
    <n v="11802"/>
    <s v="$8,430.00"/>
    <n v="3372"/>
    <d v="2014-07-01T00:00:00"/>
    <n v="7"/>
    <x v="4"/>
    <x v="0"/>
    <s v="Midium"/>
  </r>
  <r>
    <x v="2"/>
    <x v="4"/>
    <x v="5"/>
    <s v="None"/>
    <n v="2141"/>
    <s v="$260.00"/>
    <n v="12"/>
    <s v="$25,692.00"/>
    <s v="$-"/>
    <n v="25692"/>
    <s v="$6,423.00"/>
    <n v="19269"/>
    <d v="2014-08-01T00:00:00"/>
    <n v="8"/>
    <x v="5"/>
    <x v="0"/>
    <s v="Midium"/>
  </r>
  <r>
    <x v="0"/>
    <x v="4"/>
    <x v="5"/>
    <s v="None"/>
    <n v="1143"/>
    <s v="$260.00"/>
    <n v="7"/>
    <s v="$8,001.00"/>
    <s v="$-"/>
    <n v="8001"/>
    <s v="$5,715.00"/>
    <n v="2286"/>
    <d v="2014-10-01T00:00:00"/>
    <n v="10"/>
    <x v="7"/>
    <x v="0"/>
    <s v="Small"/>
  </r>
  <r>
    <x v="1"/>
    <x v="4"/>
    <x v="5"/>
    <s v="None"/>
    <n v="615"/>
    <s v="$260.00"/>
    <n v="15"/>
    <s v="$9,225.00"/>
    <s v="$-"/>
    <n v="9225"/>
    <s v="$6,150.00"/>
    <n v="3075"/>
    <d v="2014-12-01T00:00:00"/>
    <n v="12"/>
    <x v="2"/>
    <x v="0"/>
    <s v="Small"/>
  </r>
  <r>
    <x v="0"/>
    <x v="2"/>
    <x v="2"/>
    <s v="Low"/>
    <n v="3945"/>
    <s v="$10.00"/>
    <n v="7"/>
    <s v="$27,615.00"/>
    <s v="$276.15"/>
    <n v="27338.85"/>
    <s v="$19,725.00"/>
    <n v="7613.85"/>
    <d v="2014-01-01T00:00:00"/>
    <n v="1"/>
    <x v="0"/>
    <x v="0"/>
    <s v="Large"/>
  </r>
  <r>
    <x v="1"/>
    <x v="2"/>
    <x v="2"/>
    <s v="Low"/>
    <n v="2296"/>
    <s v="$10.00"/>
    <n v="15"/>
    <s v="$34,440.00"/>
    <s v="$344.40"/>
    <n v="34095.599999999999"/>
    <s v="$22,960.00"/>
    <n v="11135.6"/>
    <d v="2014-02-01T00:00:00"/>
    <n v="2"/>
    <x v="8"/>
    <x v="0"/>
    <s v="Midium"/>
  </r>
  <r>
    <x v="0"/>
    <x v="2"/>
    <x v="2"/>
    <s v="Low"/>
    <n v="1030"/>
    <s v="$10.00"/>
    <n v="7"/>
    <s v="$7,210.00"/>
    <s v="$72.10"/>
    <n v="7137.9"/>
    <s v="$5,150.00"/>
    <n v="1987.9"/>
    <d v="2014-05-01T00:00:00"/>
    <n v="5"/>
    <x v="11"/>
    <x v="0"/>
    <s v="Small"/>
  </r>
  <r>
    <x v="0"/>
    <x v="2"/>
    <x v="3"/>
    <s v="Low"/>
    <n v="639"/>
    <s v="$120.00"/>
    <n v="7"/>
    <s v="$4,473.00"/>
    <s v="$44.73"/>
    <n v="4428.2700000000004"/>
    <s v="$3,195.00"/>
    <n v="1233.27"/>
    <d v="2014-11-01T00:00:00"/>
    <n v="11"/>
    <x v="9"/>
    <x v="0"/>
    <s v="Small"/>
  </r>
  <r>
    <x v="0"/>
    <x v="0"/>
    <x v="4"/>
    <s v="Low"/>
    <n v="1326"/>
    <s v="$250.00"/>
    <n v="7"/>
    <s v="$9,282.00"/>
    <s v="$92.82"/>
    <n v="9189.18"/>
    <s v="$6,630.00"/>
    <n v="2559.1799999999998"/>
    <d v="2014-03-01T00:00:00"/>
    <n v="3"/>
    <x v="3"/>
    <x v="0"/>
    <s v="Small"/>
  </r>
  <r>
    <x v="2"/>
    <x v="4"/>
    <x v="0"/>
    <s v="Low"/>
    <n v="1858"/>
    <s v="$3.00"/>
    <n v="12"/>
    <s v="$22,296.00"/>
    <s v="$222.96"/>
    <n v="22073.040000000001"/>
    <s v="$5,574.00"/>
    <n v="16499.04"/>
    <d v="2014-02-01T00:00:00"/>
    <n v="2"/>
    <x v="8"/>
    <x v="0"/>
    <s v="Midium"/>
  </r>
  <r>
    <x v="0"/>
    <x v="3"/>
    <x v="0"/>
    <s v="Low"/>
    <n v="1210"/>
    <s v="$3.00"/>
    <n v="350"/>
    <s v="$4,23,500.00"/>
    <s v="$4,235.00"/>
    <s v="4,19,265.00"/>
    <s v="$3,14,600.00"/>
    <s v="1,04,665.00"/>
    <d v="2014-03-01T00:00:00"/>
    <n v="3"/>
    <x v="3"/>
    <x v="0"/>
    <s v="Small"/>
  </r>
  <r>
    <x v="0"/>
    <x v="4"/>
    <x v="0"/>
    <s v="Low"/>
    <n v="2529"/>
    <s v="$3.00"/>
    <n v="7"/>
    <s v="$17,703.00"/>
    <s v="$177.03"/>
    <n v="17525.97"/>
    <s v="$12,645.00"/>
    <n v="4880.97"/>
    <d v="2014-07-01T00:00:00"/>
    <n v="7"/>
    <x v="4"/>
    <x v="0"/>
    <s v="Midium"/>
  </r>
  <r>
    <x v="2"/>
    <x v="0"/>
    <x v="0"/>
    <s v="Low"/>
    <n v="1445"/>
    <s v="$3.00"/>
    <n v="12"/>
    <s v="$17,340.00"/>
    <s v="$173.40"/>
    <n v="17166.599999999999"/>
    <s v="$4,335.00"/>
    <n v="12831.6"/>
    <d v="2014-09-01T00:00:00"/>
    <n v="9"/>
    <x v="6"/>
    <x v="0"/>
    <s v="Small"/>
  </r>
  <r>
    <x v="3"/>
    <x v="4"/>
    <x v="0"/>
    <s v="Low"/>
    <n v="330"/>
    <s v="$3.00"/>
    <n v="125"/>
    <s v="$41,250.00"/>
    <s v="$412.50"/>
    <n v="40837.5"/>
    <s v="$39,600.00"/>
    <n v="1237.5"/>
    <d v="2013-09-01T00:00:00"/>
    <n v="9"/>
    <x v="6"/>
    <x v="1"/>
    <s v="Small"/>
  </r>
  <r>
    <x v="2"/>
    <x v="2"/>
    <x v="0"/>
    <s v="Low"/>
    <n v="2671"/>
    <s v="$3.00"/>
    <n v="12"/>
    <s v="$32,052.00"/>
    <s v="$320.52"/>
    <n v="31731.48"/>
    <s v="$8,013.00"/>
    <n v="23718.48"/>
    <d v="2014-09-01T00:00:00"/>
    <n v="9"/>
    <x v="6"/>
    <x v="0"/>
    <s v="Midium"/>
  </r>
  <r>
    <x v="2"/>
    <x v="1"/>
    <x v="0"/>
    <s v="Low"/>
    <n v="766"/>
    <s v="$3.00"/>
    <n v="12"/>
    <s v="$9,192.00"/>
    <s v="$91.92"/>
    <n v="9100.08"/>
    <s v="$2,298.00"/>
    <n v="6802.08"/>
    <d v="2013-10-01T00:00:00"/>
    <n v="10"/>
    <x v="7"/>
    <x v="1"/>
    <s v="Small"/>
  </r>
  <r>
    <x v="4"/>
    <x v="3"/>
    <x v="0"/>
    <s v="Low"/>
    <n v="494"/>
    <s v="$3.00"/>
    <n v="300"/>
    <s v="$1,48,200.00"/>
    <s v="$1,482.00"/>
    <s v="1,46,718.00"/>
    <s v="$1,23,500.00"/>
    <n v="23218"/>
    <d v="2013-10-01T00:00:00"/>
    <n v="10"/>
    <x v="7"/>
    <x v="1"/>
    <s v="Small"/>
  </r>
  <r>
    <x v="0"/>
    <x v="3"/>
    <x v="0"/>
    <s v="Low"/>
    <n v="1397"/>
    <s v="$3.00"/>
    <n v="350"/>
    <s v="$4,88,950.00"/>
    <s v="$4,889.50"/>
    <s v="4,84,060.50"/>
    <s v="$3,63,220.00"/>
    <s v="1,20,840.50"/>
    <d v="2014-10-01T00:00:00"/>
    <n v="10"/>
    <x v="7"/>
    <x v="0"/>
    <s v="Small"/>
  </r>
  <r>
    <x v="0"/>
    <x v="2"/>
    <x v="0"/>
    <s v="Low"/>
    <n v="2155"/>
    <s v="$3.00"/>
    <n v="350"/>
    <s v="$7,54,250.00"/>
    <s v="$7,542.50"/>
    <s v="7,46,707.50"/>
    <s v="$5,60,300.00"/>
    <s v="1,86,407.50"/>
    <d v="2014-12-01T00:00:00"/>
    <n v="12"/>
    <x v="2"/>
    <x v="0"/>
    <s v="Midium"/>
  </r>
  <r>
    <x v="1"/>
    <x v="3"/>
    <x v="1"/>
    <s v="Low"/>
    <n v="2214"/>
    <s v="$5.00"/>
    <n v="15"/>
    <s v="$33,210.00"/>
    <s v="$332.10"/>
    <n v="32877.9"/>
    <s v="$22,140.00"/>
    <n v="10737.9"/>
    <d v="2014-03-01T00:00:00"/>
    <n v="3"/>
    <x v="3"/>
    <x v="0"/>
    <s v="Midium"/>
  </r>
  <r>
    <x v="4"/>
    <x v="4"/>
    <x v="1"/>
    <s v="Low"/>
    <n v="2301"/>
    <s v="$5.00"/>
    <n v="300"/>
    <s v="$6,90,300.00"/>
    <s v="$6,903.00"/>
    <s v="6,83,397.00"/>
    <s v="$5,75,250.00"/>
    <s v="1,08,147.00"/>
    <d v="2014-04-01T00:00:00"/>
    <n v="4"/>
    <x v="10"/>
    <x v="0"/>
    <s v="Midium"/>
  </r>
  <r>
    <x v="0"/>
    <x v="2"/>
    <x v="1"/>
    <s v="Low"/>
    <n v="1375.5"/>
    <s v="$5.00"/>
    <n v="20"/>
    <s v="$27,510.00"/>
    <s v="$275.10"/>
    <n v="27234.9"/>
    <s v="$13,755.00"/>
    <n v="13479.9"/>
    <d v="2014-07-01T00:00:00"/>
    <n v="7"/>
    <x v="4"/>
    <x v="0"/>
    <s v="Small"/>
  </r>
  <r>
    <x v="0"/>
    <x v="0"/>
    <x v="1"/>
    <s v="Low"/>
    <n v="1830"/>
    <s v="$5.00"/>
    <n v="7"/>
    <s v="$12,810.00"/>
    <s v="$128.10"/>
    <n v="12681.9"/>
    <s v="$9,150.00"/>
    <n v="3531.9"/>
    <d v="2014-08-01T00:00:00"/>
    <n v="8"/>
    <x v="5"/>
    <x v="0"/>
    <s v="Midium"/>
  </r>
  <r>
    <x v="4"/>
    <x v="4"/>
    <x v="1"/>
    <s v="Low"/>
    <n v="2498"/>
    <s v="$5.00"/>
    <n v="300"/>
    <s v="$7,49,400.00"/>
    <s v="$7,494.00"/>
    <s v="7,41,906.00"/>
    <s v="$6,24,500.00"/>
    <s v="1,17,406.00"/>
    <d v="2013-09-01T00:00:00"/>
    <n v="9"/>
    <x v="6"/>
    <x v="1"/>
    <s v="Midium"/>
  </r>
  <r>
    <x v="3"/>
    <x v="4"/>
    <x v="1"/>
    <s v="Low"/>
    <n v="663"/>
    <s v="$5.00"/>
    <n v="125"/>
    <s v="$82,875.00"/>
    <s v="$828.75"/>
    <n v="82046.25"/>
    <s v="$79,560.00"/>
    <n v="2486.25"/>
    <d v="2013-10-01T00:00:00"/>
    <n v="10"/>
    <x v="7"/>
    <x v="1"/>
    <s v="Small"/>
  </r>
  <r>
    <x v="1"/>
    <x v="4"/>
    <x v="2"/>
    <s v="Low"/>
    <n v="1514"/>
    <s v="$10.00"/>
    <n v="15"/>
    <s v="$22,710.00"/>
    <s v="$227.10"/>
    <n v="22482.9"/>
    <s v="$15,140.00"/>
    <n v="7342.9"/>
    <d v="2014-02-01T00:00:00"/>
    <n v="2"/>
    <x v="8"/>
    <x v="0"/>
    <s v="Midium"/>
  </r>
  <r>
    <x v="0"/>
    <x v="4"/>
    <x v="2"/>
    <s v="Low"/>
    <n v="4492.5"/>
    <s v="$10.00"/>
    <n v="7"/>
    <s v="$31,447.50"/>
    <s v="$314.48"/>
    <n v="31133.03"/>
    <s v="$22,462.50"/>
    <n v="8670.5300000000007"/>
    <d v="2014-04-01T00:00:00"/>
    <n v="4"/>
    <x v="10"/>
    <x v="0"/>
    <s v="Large"/>
  </r>
  <r>
    <x v="3"/>
    <x v="4"/>
    <x v="2"/>
    <s v="Low"/>
    <n v="727"/>
    <s v="$10.00"/>
    <n v="125"/>
    <s v="$90,875.00"/>
    <s v="$908.75"/>
    <n v="89966.25"/>
    <s v="$87,240.00"/>
    <n v="2726.25"/>
    <d v="2014-06-01T00:00:00"/>
    <n v="6"/>
    <x v="1"/>
    <x v="0"/>
    <s v="Small"/>
  </r>
  <r>
    <x v="3"/>
    <x v="2"/>
    <x v="2"/>
    <s v="Low"/>
    <n v="787"/>
    <s v="$10.00"/>
    <n v="125"/>
    <s v="$98,375.00"/>
    <s v="$983.75"/>
    <n v="97391.25"/>
    <s v="$94,440.00"/>
    <n v="2951.25"/>
    <d v="2014-06-01T00:00:00"/>
    <n v="6"/>
    <x v="1"/>
    <x v="0"/>
    <s v="Small"/>
  </r>
  <r>
    <x v="3"/>
    <x v="3"/>
    <x v="2"/>
    <s v="Low"/>
    <n v="1823"/>
    <s v="$10.00"/>
    <n v="125"/>
    <s v="$2,27,875.00"/>
    <s v="$2,278.75"/>
    <s v="2,25,596.25"/>
    <s v="$2,18,760.00"/>
    <n v="6836.25"/>
    <d v="2014-07-01T00:00:00"/>
    <n v="7"/>
    <x v="4"/>
    <x v="0"/>
    <s v="Midium"/>
  </r>
  <r>
    <x v="1"/>
    <x v="1"/>
    <x v="2"/>
    <s v="Low"/>
    <n v="747"/>
    <s v="$10.00"/>
    <n v="15"/>
    <s v="$11,205.00"/>
    <s v="$112.05"/>
    <n v="11092.95"/>
    <s v="$7,470.00"/>
    <n v="3622.95"/>
    <d v="2014-09-01T00:00:00"/>
    <n v="9"/>
    <x v="6"/>
    <x v="0"/>
    <s v="Small"/>
  </r>
  <r>
    <x v="2"/>
    <x v="1"/>
    <x v="2"/>
    <s v="Low"/>
    <n v="766"/>
    <s v="$10.00"/>
    <n v="12"/>
    <s v="$9,192.00"/>
    <s v="$91.92"/>
    <n v="9100.08"/>
    <s v="$2,298.00"/>
    <n v="6802.08"/>
    <d v="2013-10-01T00:00:00"/>
    <n v="10"/>
    <x v="7"/>
    <x v="1"/>
    <s v="Small"/>
  </r>
  <r>
    <x v="4"/>
    <x v="4"/>
    <x v="2"/>
    <s v="Low"/>
    <n v="2905"/>
    <s v="$10.00"/>
    <n v="300"/>
    <s v="$8,71,500.00"/>
    <s v="$8,715.00"/>
    <s v="8,62,785.00"/>
    <s v="$7,26,250.00"/>
    <s v="1,36,535.00"/>
    <d v="2014-11-01T00:00:00"/>
    <n v="11"/>
    <x v="9"/>
    <x v="0"/>
    <s v="Midium"/>
  </r>
  <r>
    <x v="0"/>
    <x v="2"/>
    <x v="2"/>
    <s v="Low"/>
    <n v="2155"/>
    <s v="$10.00"/>
    <n v="350"/>
    <s v="$7,54,250.00"/>
    <s v="$7,542.50"/>
    <s v="7,46,707.50"/>
    <s v="$5,60,300.00"/>
    <s v="1,86,407.50"/>
    <d v="2014-12-01T00:00:00"/>
    <n v="12"/>
    <x v="2"/>
    <x v="0"/>
    <s v="Midium"/>
  </r>
  <r>
    <x v="0"/>
    <x v="2"/>
    <x v="3"/>
    <s v="Low"/>
    <n v="3864"/>
    <s v="$120.00"/>
    <n v="20"/>
    <s v="$77,280.00"/>
    <s v="$772.80"/>
    <n v="76507.199999999997"/>
    <s v="$38,640.00"/>
    <n v="37867.199999999997"/>
    <d v="2014-04-01T00:00:00"/>
    <n v="4"/>
    <x v="10"/>
    <x v="0"/>
    <s v="Large"/>
  </r>
  <r>
    <x v="0"/>
    <x v="3"/>
    <x v="3"/>
    <s v="Low"/>
    <n v="362"/>
    <s v="$120.00"/>
    <n v="7"/>
    <s v="$2,534.00"/>
    <s v="$25.34"/>
    <n v="2508.66"/>
    <s v="$1,810.00"/>
    <n v="698.66"/>
    <d v="2014-05-01T00:00:00"/>
    <n v="5"/>
    <x v="11"/>
    <x v="0"/>
    <s v="Small"/>
  </r>
  <r>
    <x v="3"/>
    <x v="0"/>
    <x v="3"/>
    <s v="Low"/>
    <n v="923"/>
    <s v="$120.00"/>
    <n v="125"/>
    <s v="$1,15,375.00"/>
    <s v="$1,153.75"/>
    <s v="1,14,221.25"/>
    <s v="$1,10,760.00"/>
    <n v="3461.25"/>
    <d v="2014-08-01T00:00:00"/>
    <n v="8"/>
    <x v="5"/>
    <x v="0"/>
    <s v="Small"/>
  </r>
  <r>
    <x v="3"/>
    <x v="4"/>
    <x v="3"/>
    <s v="Low"/>
    <n v="663"/>
    <s v="$120.00"/>
    <n v="125"/>
    <s v="$82,875.00"/>
    <s v="$828.75"/>
    <n v="82046.25"/>
    <s v="$79,560.00"/>
    <n v="2486.25"/>
    <d v="2013-10-01T00:00:00"/>
    <n v="10"/>
    <x v="7"/>
    <x v="1"/>
    <s v="Small"/>
  </r>
  <r>
    <x v="0"/>
    <x v="0"/>
    <x v="3"/>
    <s v="Low"/>
    <n v="2092"/>
    <s v="$120.00"/>
    <n v="7"/>
    <s v="$14,644.00"/>
    <s v="$146.44"/>
    <n v="14497.56"/>
    <s v="$10,460.00"/>
    <n v="4037.56"/>
    <d v="2013-11-01T00:00:00"/>
    <n v="11"/>
    <x v="9"/>
    <x v="1"/>
    <s v="Midium"/>
  </r>
  <r>
    <x v="0"/>
    <x v="1"/>
    <x v="4"/>
    <s v="Low"/>
    <n v="263"/>
    <s v="$250.00"/>
    <n v="7"/>
    <s v="$1,841.00"/>
    <s v="$18.41"/>
    <n v="1822.59"/>
    <s v="$1,315.00"/>
    <n v="507.59"/>
    <d v="2014-03-01T00:00:00"/>
    <n v="3"/>
    <x v="3"/>
    <x v="0"/>
    <s v="Small"/>
  </r>
  <r>
    <x v="0"/>
    <x v="0"/>
    <x v="4"/>
    <s v="Low"/>
    <n v="943.5"/>
    <s v="$250.00"/>
    <n v="350"/>
    <s v="$3,30,225.00"/>
    <s v="$3,302.25"/>
    <s v="3,26,922.75"/>
    <s v="$2,45,310.00"/>
    <n v="81612.75"/>
    <d v="2014-04-01T00:00:00"/>
    <n v="4"/>
    <x v="10"/>
    <x v="0"/>
    <s v="Small"/>
  </r>
  <r>
    <x v="3"/>
    <x v="4"/>
    <x v="4"/>
    <s v="Low"/>
    <n v="727"/>
    <s v="$250.00"/>
    <n v="125"/>
    <s v="$90,875.00"/>
    <s v="$908.75"/>
    <n v="89966.25"/>
    <s v="$87,240.00"/>
    <n v="2726.25"/>
    <d v="2014-06-01T00:00:00"/>
    <n v="6"/>
    <x v="1"/>
    <x v="0"/>
    <s v="Small"/>
  </r>
  <r>
    <x v="3"/>
    <x v="2"/>
    <x v="4"/>
    <s v="Low"/>
    <n v="787"/>
    <s v="$250.00"/>
    <n v="125"/>
    <s v="$98,375.00"/>
    <s v="$983.75"/>
    <n v="97391.25"/>
    <s v="$94,440.00"/>
    <n v="2951.25"/>
    <d v="2014-06-01T00:00:00"/>
    <n v="6"/>
    <x v="1"/>
    <x v="0"/>
    <s v="Small"/>
  </r>
  <r>
    <x v="4"/>
    <x v="1"/>
    <x v="4"/>
    <s v="Low"/>
    <n v="986"/>
    <s v="$250.00"/>
    <n v="300"/>
    <s v="$2,95,800.00"/>
    <s v="$2,958.00"/>
    <s v="2,92,842.00"/>
    <s v="$2,46,500.00"/>
    <n v="46342"/>
    <d v="2014-09-01T00:00:00"/>
    <n v="9"/>
    <x v="6"/>
    <x v="0"/>
    <s v="Small"/>
  </r>
  <r>
    <x v="4"/>
    <x v="3"/>
    <x v="4"/>
    <s v="Low"/>
    <n v="494"/>
    <s v="$250.00"/>
    <n v="300"/>
    <s v="$1,48,200.00"/>
    <s v="$1,482.00"/>
    <s v="1,46,718.00"/>
    <s v="$1,23,500.00"/>
    <n v="23218"/>
    <d v="2013-10-01T00:00:00"/>
    <n v="10"/>
    <x v="7"/>
    <x v="1"/>
    <s v="Small"/>
  </r>
  <r>
    <x v="0"/>
    <x v="3"/>
    <x v="4"/>
    <s v="Low"/>
    <n v="1397"/>
    <s v="$250.00"/>
    <n v="350"/>
    <s v="$4,88,950.00"/>
    <s v="$4,889.50"/>
    <s v="4,84,060.50"/>
    <s v="$3,63,220.00"/>
    <s v="1,20,840.50"/>
    <d v="2014-10-01T00:00:00"/>
    <n v="10"/>
    <x v="7"/>
    <x v="0"/>
    <s v="Small"/>
  </r>
  <r>
    <x v="3"/>
    <x v="2"/>
    <x v="4"/>
    <s v="Low"/>
    <n v="1744"/>
    <s v="$250.00"/>
    <n v="125"/>
    <s v="$2,18,000.00"/>
    <s v="$2,180.00"/>
    <s v="2,15,820.00"/>
    <s v="$2,09,280.00"/>
    <n v="6540"/>
    <d v="2014-11-01T00:00:00"/>
    <n v="11"/>
    <x v="9"/>
    <x v="0"/>
    <s v="Midium"/>
  </r>
  <r>
    <x v="2"/>
    <x v="4"/>
    <x v="5"/>
    <s v="Low"/>
    <n v="1989"/>
    <s v="$260.00"/>
    <n v="12"/>
    <s v="$23,868.00"/>
    <s v="$238.68"/>
    <n v="23629.32"/>
    <s v="$5,967.00"/>
    <n v="17662.32"/>
    <d v="2013-09-01T00:00:00"/>
    <n v="9"/>
    <x v="6"/>
    <x v="1"/>
    <s v="Midium"/>
  </r>
  <r>
    <x v="1"/>
    <x v="2"/>
    <x v="5"/>
    <s v="Low"/>
    <n v="321"/>
    <s v="$260.00"/>
    <n v="15"/>
    <s v="$4,815.00"/>
    <s v="$48.15"/>
    <n v="4766.8500000000004"/>
    <s v="$3,210.00"/>
    <n v="1556.85"/>
    <d v="2013-11-01T00:00:00"/>
    <n v="11"/>
    <x v="9"/>
    <x v="1"/>
    <s v="Small"/>
  </r>
  <r>
    <x v="3"/>
    <x v="0"/>
    <x v="0"/>
    <s v="Low"/>
    <n v="742.5"/>
    <s v="$3.00"/>
    <n v="125"/>
    <s v="$92,812.50"/>
    <s v="$1,856.25"/>
    <n v="90956.25"/>
    <s v="$89,100.00"/>
    <n v="1856.25"/>
    <d v="2014-04-01T00:00:00"/>
    <n v="4"/>
    <x v="10"/>
    <x v="0"/>
    <s v="Small"/>
  </r>
  <r>
    <x v="2"/>
    <x v="0"/>
    <x v="0"/>
    <s v="Low"/>
    <n v="1295"/>
    <s v="$3.00"/>
    <n v="12"/>
    <s v="$15,540.00"/>
    <s v="$310.80"/>
    <n v="15229.2"/>
    <s v="$3,885.00"/>
    <n v="11344.2"/>
    <d v="2014-10-01T00:00:00"/>
    <n v="10"/>
    <x v="7"/>
    <x v="0"/>
    <s v="Small"/>
  </r>
  <r>
    <x v="4"/>
    <x v="1"/>
    <x v="0"/>
    <s v="Low"/>
    <n v="214"/>
    <s v="$3.00"/>
    <n v="300"/>
    <s v="$64,200.00"/>
    <s v="$1,284.00"/>
    <n v="62916"/>
    <s v="$53,500.00"/>
    <n v="9416"/>
    <d v="2013-10-01T00:00:00"/>
    <n v="10"/>
    <x v="7"/>
    <x v="1"/>
    <s v="Small"/>
  </r>
  <r>
    <x v="0"/>
    <x v="2"/>
    <x v="0"/>
    <s v="Low"/>
    <n v="2145"/>
    <s v="$3.00"/>
    <n v="7"/>
    <s v="$15,015.00"/>
    <s v="$300.30"/>
    <n v="14714.7"/>
    <s v="$10,725.00"/>
    <n v="3989.7"/>
    <d v="2013-11-01T00:00:00"/>
    <n v="11"/>
    <x v="9"/>
    <x v="1"/>
    <s v="Midium"/>
  </r>
  <r>
    <x v="0"/>
    <x v="0"/>
    <x v="0"/>
    <s v="Low"/>
    <n v="2852"/>
    <s v="$3.00"/>
    <n v="350"/>
    <s v="$9,98,200.00"/>
    <s v="$19,964.00"/>
    <s v="9,78,236.00"/>
    <s v="$7,41,520.00"/>
    <s v="2,36,716.00"/>
    <d v="2014-12-01T00:00:00"/>
    <n v="12"/>
    <x v="2"/>
    <x v="0"/>
    <s v="Midium"/>
  </r>
  <r>
    <x v="2"/>
    <x v="4"/>
    <x v="1"/>
    <s v="Low"/>
    <n v="1142"/>
    <s v="$5.00"/>
    <n v="12"/>
    <s v="$13,704.00"/>
    <s v="$274.08"/>
    <n v="13429.92"/>
    <s v="$3,426.00"/>
    <n v="10003.92"/>
    <d v="2014-06-01T00:00:00"/>
    <n v="6"/>
    <x v="1"/>
    <x v="0"/>
    <s v="Small"/>
  </r>
  <r>
    <x v="0"/>
    <x v="4"/>
    <x v="1"/>
    <s v="Low"/>
    <n v="1566"/>
    <s v="$5.00"/>
    <n v="20"/>
    <s v="$31,320.00"/>
    <s v="$626.40"/>
    <n v="30693.599999999999"/>
    <s v="$15,660.00"/>
    <n v="15033.6"/>
    <d v="2014-10-01T00:00:00"/>
    <n v="10"/>
    <x v="7"/>
    <x v="0"/>
    <s v="Midium"/>
  </r>
  <r>
    <x v="2"/>
    <x v="3"/>
    <x v="1"/>
    <s v="Low"/>
    <n v="690"/>
    <s v="$5.00"/>
    <n v="12"/>
    <s v="$8,280.00"/>
    <s v="$165.60"/>
    <n v="8114.4"/>
    <s v="$2,070.00"/>
    <n v="6044.4"/>
    <d v="2014-11-01T00:00:00"/>
    <n v="11"/>
    <x v="9"/>
    <x v="0"/>
    <s v="Small"/>
  </r>
  <r>
    <x v="3"/>
    <x v="3"/>
    <x v="1"/>
    <s v="Low"/>
    <n v="1660"/>
    <s v="$5.00"/>
    <n v="125"/>
    <s v="$2,07,500.00"/>
    <s v="$4,150.00"/>
    <s v="2,03,350.00"/>
    <s v="$1,99,200.00"/>
    <n v="4150"/>
    <d v="2013-11-01T00:00:00"/>
    <n v="11"/>
    <x v="9"/>
    <x v="1"/>
    <s v="Midium"/>
  </r>
  <r>
    <x v="1"/>
    <x v="0"/>
    <x v="2"/>
    <s v="Low"/>
    <n v="2363"/>
    <s v="$10.00"/>
    <n v="15"/>
    <s v="$35,445.00"/>
    <s v="$708.90"/>
    <n v="34736.1"/>
    <s v="$23,630.00"/>
    <n v="11106.1"/>
    <d v="2014-02-01T00:00:00"/>
    <n v="2"/>
    <x v="8"/>
    <x v="0"/>
    <s v="Midium"/>
  </r>
  <r>
    <x v="4"/>
    <x v="2"/>
    <x v="2"/>
    <s v="Low"/>
    <n v="918"/>
    <s v="$10.00"/>
    <n v="300"/>
    <s v="$2,75,400.00"/>
    <s v="$5,508.00"/>
    <s v="2,69,892.00"/>
    <s v="$2,29,500.00"/>
    <n v="40392"/>
    <d v="2014-05-01T00:00:00"/>
    <n v="5"/>
    <x v="11"/>
    <x v="0"/>
    <s v="Small"/>
  </r>
  <r>
    <x v="4"/>
    <x v="1"/>
    <x v="2"/>
    <s v="Low"/>
    <n v="1728"/>
    <s v="$10.00"/>
    <n v="300"/>
    <s v="$5,18,400.00"/>
    <s v="$10,368.00"/>
    <s v="5,08,032.00"/>
    <s v="$4,32,000.00"/>
    <n v="76032"/>
    <d v="2014-05-01T00:00:00"/>
    <n v="5"/>
    <x v="11"/>
    <x v="0"/>
    <s v="Midium"/>
  </r>
  <r>
    <x v="2"/>
    <x v="4"/>
    <x v="2"/>
    <s v="Low"/>
    <n v="1142"/>
    <s v="$10.00"/>
    <n v="12"/>
    <s v="$13,704.00"/>
    <s v="$274.08"/>
    <n v="13429.92"/>
    <s v="$3,426.00"/>
    <n v="10003.92"/>
    <d v="2014-06-01T00:00:00"/>
    <n v="6"/>
    <x v="1"/>
    <x v="0"/>
    <s v="Small"/>
  </r>
  <r>
    <x v="3"/>
    <x v="3"/>
    <x v="2"/>
    <s v="Low"/>
    <n v="662"/>
    <s v="$10.00"/>
    <n v="125"/>
    <s v="$82,750.00"/>
    <s v="$1,655.00"/>
    <n v="81095"/>
    <s v="$79,440.00"/>
    <n v="1655"/>
    <d v="2014-06-01T00:00:00"/>
    <n v="6"/>
    <x v="1"/>
    <x v="0"/>
    <s v="Small"/>
  </r>
  <r>
    <x v="2"/>
    <x v="0"/>
    <x v="2"/>
    <s v="Low"/>
    <n v="1295"/>
    <s v="$10.00"/>
    <n v="12"/>
    <s v="$15,540.00"/>
    <s v="$310.80"/>
    <n v="15229.2"/>
    <s v="$3,885.00"/>
    <n v="11344.2"/>
    <d v="2014-10-01T00:00:00"/>
    <n v="10"/>
    <x v="7"/>
    <x v="0"/>
    <s v="Small"/>
  </r>
  <r>
    <x v="3"/>
    <x v="1"/>
    <x v="2"/>
    <s v="Low"/>
    <n v="809"/>
    <s v="$10.00"/>
    <n v="125"/>
    <s v="$1,01,125.00"/>
    <s v="$2,022.50"/>
    <n v="99102.5"/>
    <s v="$97,080.00"/>
    <n v="2022.5"/>
    <d v="2013-10-01T00:00:00"/>
    <n v="10"/>
    <x v="7"/>
    <x v="1"/>
    <s v="Small"/>
  </r>
  <r>
    <x v="3"/>
    <x v="3"/>
    <x v="2"/>
    <s v="Low"/>
    <n v="2145"/>
    <s v="$10.00"/>
    <n v="125"/>
    <s v="$2,68,125.00"/>
    <s v="$5,362.50"/>
    <s v="2,62,762.50"/>
    <s v="$2,57,400.00"/>
    <n v="5362.5"/>
    <d v="2013-10-01T00:00:00"/>
    <n v="10"/>
    <x v="7"/>
    <x v="1"/>
    <s v="Midium"/>
  </r>
  <r>
    <x v="2"/>
    <x v="2"/>
    <x v="2"/>
    <s v="Low"/>
    <n v="1785"/>
    <s v="$10.00"/>
    <n v="12"/>
    <s v="$21,420.00"/>
    <s v="$428.40"/>
    <n v="20991.599999999999"/>
    <s v="$5,355.00"/>
    <n v="15636.6"/>
    <d v="2013-11-01T00:00:00"/>
    <n v="11"/>
    <x v="9"/>
    <x v="1"/>
    <s v="Midium"/>
  </r>
  <r>
    <x v="4"/>
    <x v="0"/>
    <x v="2"/>
    <s v="Low"/>
    <n v="1916"/>
    <s v="$10.00"/>
    <n v="300"/>
    <s v="$5,74,800.00"/>
    <s v="$11,496.00"/>
    <s v="5,63,304.00"/>
    <s v="$4,79,000.00"/>
    <n v="84304"/>
    <d v="2014-12-01T00:00:00"/>
    <n v="12"/>
    <x v="2"/>
    <x v="0"/>
    <s v="Midium"/>
  </r>
  <r>
    <x v="0"/>
    <x v="0"/>
    <x v="2"/>
    <s v="Low"/>
    <n v="2852"/>
    <s v="$10.00"/>
    <n v="350"/>
    <s v="$9,98,200.00"/>
    <s v="$19,964.00"/>
    <s v="9,78,236.00"/>
    <s v="$7,41,520.00"/>
    <s v="2,36,716.00"/>
    <d v="2014-12-01T00:00:00"/>
    <n v="12"/>
    <x v="2"/>
    <x v="0"/>
    <s v="Midium"/>
  </r>
  <r>
    <x v="3"/>
    <x v="0"/>
    <x v="2"/>
    <s v="Low"/>
    <n v="2729"/>
    <s v="$10.00"/>
    <n v="125"/>
    <s v="$3,41,125.00"/>
    <s v="$6,822.50"/>
    <s v="3,34,302.50"/>
    <s v="$3,27,480.00"/>
    <n v="6822.5"/>
    <d v="2014-12-01T00:00:00"/>
    <n v="12"/>
    <x v="2"/>
    <x v="0"/>
    <s v="Midium"/>
  </r>
  <r>
    <x v="1"/>
    <x v="4"/>
    <x v="2"/>
    <s v="Low"/>
    <n v="1925"/>
    <s v="$10.00"/>
    <n v="15"/>
    <s v="$28,875.00"/>
    <s v="$577.50"/>
    <n v="28297.5"/>
    <s v="$19,250.00"/>
    <n v="9047.5"/>
    <d v="2013-12-01T00:00:00"/>
    <n v="12"/>
    <x v="2"/>
    <x v="1"/>
    <s v="Midium"/>
  </r>
  <r>
    <x v="0"/>
    <x v="4"/>
    <x v="2"/>
    <s v="Low"/>
    <n v="2013"/>
    <s v="$10.00"/>
    <n v="7"/>
    <s v="$14,091.00"/>
    <s v="$281.82"/>
    <n v="13809.18"/>
    <s v="$10,065.00"/>
    <n v="3744.18"/>
    <d v="2013-12-01T00:00:00"/>
    <n v="12"/>
    <x v="2"/>
    <x v="1"/>
    <s v="Midium"/>
  </r>
  <r>
    <x v="2"/>
    <x v="2"/>
    <x v="2"/>
    <s v="Low"/>
    <n v="1055"/>
    <s v="$10.00"/>
    <n v="12"/>
    <s v="$12,660.00"/>
    <s v="$253.20"/>
    <n v="12406.8"/>
    <s v="$3,165.00"/>
    <n v="9241.7999999999993"/>
    <d v="2014-12-01T00:00:00"/>
    <n v="12"/>
    <x v="2"/>
    <x v="0"/>
    <s v="Small"/>
  </r>
  <r>
    <x v="2"/>
    <x v="3"/>
    <x v="2"/>
    <s v="Low"/>
    <n v="1084"/>
    <s v="$10.00"/>
    <n v="12"/>
    <s v="$13,008.00"/>
    <s v="$260.16"/>
    <n v="12747.84"/>
    <s v="$3,252.00"/>
    <n v="9495.84"/>
    <d v="2014-12-01T00:00:00"/>
    <n v="12"/>
    <x v="2"/>
    <x v="0"/>
    <s v="Small"/>
  </r>
  <r>
    <x v="0"/>
    <x v="4"/>
    <x v="3"/>
    <s v="Low"/>
    <n v="1566"/>
    <s v="$120.00"/>
    <n v="20"/>
    <s v="$31,320.00"/>
    <s v="$626.40"/>
    <n v="30693.599999999999"/>
    <s v="$15,660.00"/>
    <n v="15033.6"/>
    <d v="2014-10-01T00:00:00"/>
    <n v="10"/>
    <x v="7"/>
    <x v="0"/>
    <s v="Midium"/>
  </r>
  <r>
    <x v="0"/>
    <x v="1"/>
    <x v="3"/>
    <s v="Low"/>
    <n v="2966"/>
    <s v="$120.00"/>
    <n v="350"/>
    <s v="$10,38,100.00"/>
    <s v="$20,762.00"/>
    <s v="10,17,338.00"/>
    <s v="$7,71,160.00"/>
    <s v="2,46,178.00"/>
    <d v="2013-10-01T00:00:00"/>
    <n v="10"/>
    <x v="7"/>
    <x v="1"/>
    <s v="Midium"/>
  </r>
  <r>
    <x v="0"/>
    <x v="1"/>
    <x v="3"/>
    <s v="Low"/>
    <n v="2877"/>
    <s v="$120.00"/>
    <n v="350"/>
    <s v="$10,06,950.00"/>
    <s v="$20,139.00"/>
    <s v="9,86,811.00"/>
    <s v="$7,48,020.00"/>
    <s v="2,38,791.00"/>
    <d v="2014-10-01T00:00:00"/>
    <n v="10"/>
    <x v="7"/>
    <x v="0"/>
    <s v="Midium"/>
  </r>
  <r>
    <x v="3"/>
    <x v="1"/>
    <x v="3"/>
    <s v="Low"/>
    <n v="809"/>
    <s v="$120.00"/>
    <n v="125"/>
    <s v="$1,01,125.00"/>
    <s v="$2,022.50"/>
    <n v="99102.5"/>
    <s v="$97,080.00"/>
    <n v="2022.5"/>
    <d v="2013-10-01T00:00:00"/>
    <n v="10"/>
    <x v="7"/>
    <x v="1"/>
    <s v="Small"/>
  </r>
  <r>
    <x v="3"/>
    <x v="3"/>
    <x v="3"/>
    <s v="Low"/>
    <n v="2145"/>
    <s v="$120.00"/>
    <n v="125"/>
    <s v="$2,68,125.00"/>
    <s v="$5,362.50"/>
    <s v="2,62,762.50"/>
    <s v="$2,57,400.00"/>
    <n v="5362.5"/>
    <d v="2013-10-01T00:00:00"/>
    <n v="10"/>
    <x v="7"/>
    <x v="1"/>
    <s v="Midium"/>
  </r>
  <r>
    <x v="2"/>
    <x v="2"/>
    <x v="3"/>
    <s v="Low"/>
    <n v="1055"/>
    <s v="$120.00"/>
    <n v="12"/>
    <s v="$12,660.00"/>
    <s v="$253.20"/>
    <n v="12406.8"/>
    <s v="$3,165.00"/>
    <n v="9241.7999999999993"/>
    <d v="2014-12-01T00:00:00"/>
    <n v="12"/>
    <x v="2"/>
    <x v="0"/>
    <s v="Small"/>
  </r>
  <r>
    <x v="0"/>
    <x v="3"/>
    <x v="3"/>
    <s v="Low"/>
    <n v="544"/>
    <s v="$120.00"/>
    <n v="20"/>
    <s v="$10,880.00"/>
    <s v="$217.60"/>
    <n v="10662.4"/>
    <s v="$5,440.00"/>
    <n v="5222.3999999999996"/>
    <d v="2013-12-01T00:00:00"/>
    <n v="12"/>
    <x v="2"/>
    <x v="1"/>
    <s v="Small"/>
  </r>
  <r>
    <x v="2"/>
    <x v="3"/>
    <x v="3"/>
    <s v="Low"/>
    <n v="1084"/>
    <s v="$120.00"/>
    <n v="12"/>
    <s v="$13,008.00"/>
    <s v="$260.16"/>
    <n v="12747.84"/>
    <s v="$3,252.00"/>
    <n v="9495.84"/>
    <d v="2014-12-01T00:00:00"/>
    <n v="12"/>
    <x v="2"/>
    <x v="0"/>
    <s v="Small"/>
  </r>
  <r>
    <x v="3"/>
    <x v="3"/>
    <x v="4"/>
    <s v="Low"/>
    <n v="662"/>
    <s v="$250.00"/>
    <n v="125"/>
    <s v="$82,750.00"/>
    <s v="$1,655.00"/>
    <n v="81095"/>
    <s v="$79,440.00"/>
    <n v="1655"/>
    <d v="2014-06-01T00:00:00"/>
    <n v="6"/>
    <x v="1"/>
    <x v="0"/>
    <s v="Small"/>
  </r>
  <r>
    <x v="4"/>
    <x v="1"/>
    <x v="4"/>
    <s v="Low"/>
    <n v="214"/>
    <s v="$250.00"/>
    <n v="300"/>
    <s v="$64,200.00"/>
    <s v="$1,284.00"/>
    <n v="62916"/>
    <s v="$53,500.00"/>
    <n v="9416"/>
    <d v="2013-10-01T00:00:00"/>
    <n v="10"/>
    <x v="7"/>
    <x v="1"/>
    <s v="Small"/>
  </r>
  <r>
    <x v="0"/>
    <x v="1"/>
    <x v="4"/>
    <s v="Low"/>
    <n v="2877"/>
    <s v="$250.00"/>
    <n v="350"/>
    <s v="$10,06,950.00"/>
    <s v="$20,139.00"/>
    <s v="9,86,811.00"/>
    <s v="$7,48,020.00"/>
    <s v="2,38,791.00"/>
    <d v="2014-10-01T00:00:00"/>
    <n v="10"/>
    <x v="7"/>
    <x v="0"/>
    <s v="Midium"/>
  </r>
  <r>
    <x v="3"/>
    <x v="0"/>
    <x v="4"/>
    <s v="Low"/>
    <n v="2729"/>
    <s v="$250.00"/>
    <n v="125"/>
    <s v="$3,41,125.00"/>
    <s v="$6,822.50"/>
    <s v="3,34,302.50"/>
    <s v="$3,27,480.00"/>
    <n v="6822.5"/>
    <d v="2014-12-01T00:00:00"/>
    <n v="12"/>
    <x v="2"/>
    <x v="0"/>
    <s v="Midium"/>
  </r>
  <r>
    <x v="0"/>
    <x v="4"/>
    <x v="4"/>
    <s v="Low"/>
    <n v="266"/>
    <s v="$250.00"/>
    <n v="350"/>
    <s v="$93,100.00"/>
    <s v="$1,862.00"/>
    <n v="91238"/>
    <s v="$69,160.00"/>
    <n v="22078"/>
    <d v="2013-12-01T00:00:00"/>
    <n v="12"/>
    <x v="2"/>
    <x v="1"/>
    <s v="Small"/>
  </r>
  <r>
    <x v="0"/>
    <x v="3"/>
    <x v="4"/>
    <s v="Low"/>
    <n v="1940"/>
    <s v="$250.00"/>
    <n v="350"/>
    <s v="$6,79,000.00"/>
    <s v="$13,580.00"/>
    <s v="6,65,420.00"/>
    <s v="$5,04,400.00"/>
    <s v="1,61,020.00"/>
    <d v="2013-12-01T00:00:00"/>
    <n v="12"/>
    <x v="2"/>
    <x v="1"/>
    <s v="Midium"/>
  </r>
  <r>
    <x v="4"/>
    <x v="1"/>
    <x v="5"/>
    <s v="Low"/>
    <n v="259"/>
    <s v="$260.00"/>
    <n v="300"/>
    <s v="$77,700.00"/>
    <s v="$1,554.00"/>
    <n v="76146"/>
    <s v="$64,750.00"/>
    <n v="11396"/>
    <d v="2014-03-01T00:00:00"/>
    <n v="3"/>
    <x v="3"/>
    <x v="0"/>
    <s v="Small"/>
  </r>
  <r>
    <x v="4"/>
    <x v="3"/>
    <x v="5"/>
    <s v="Low"/>
    <n v="1101"/>
    <s v="$260.00"/>
    <n v="300"/>
    <s v="$3,30,300.00"/>
    <s v="$6,606.00"/>
    <s v="3,23,694.00"/>
    <s v="$2,75,250.00"/>
    <n v="48444"/>
    <d v="2014-03-01T00:00:00"/>
    <n v="3"/>
    <x v="3"/>
    <x v="0"/>
    <s v="Small"/>
  </r>
  <r>
    <x v="3"/>
    <x v="1"/>
    <x v="5"/>
    <s v="Low"/>
    <n v="2276"/>
    <s v="$260.00"/>
    <n v="125"/>
    <s v="$2,84,500.00"/>
    <s v="$5,690.00"/>
    <s v="2,78,810.00"/>
    <s v="$2,73,120.00"/>
    <n v="5690"/>
    <d v="2014-05-01T00:00:00"/>
    <n v="5"/>
    <x v="11"/>
    <x v="0"/>
    <s v="Midium"/>
  </r>
  <r>
    <x v="0"/>
    <x v="1"/>
    <x v="5"/>
    <s v="Low"/>
    <n v="2966"/>
    <s v="$260.00"/>
    <n v="350"/>
    <s v="$10,38,100.00"/>
    <s v="$20,762.00"/>
    <s v="10,17,338.00"/>
    <s v="$7,71,160.00"/>
    <s v="2,46,178.00"/>
    <d v="2013-10-01T00:00:00"/>
    <n v="10"/>
    <x v="7"/>
    <x v="1"/>
    <s v="Midium"/>
  </r>
  <r>
    <x v="0"/>
    <x v="4"/>
    <x v="5"/>
    <s v="Low"/>
    <n v="1236"/>
    <s v="$260.00"/>
    <n v="20"/>
    <s v="$24,720.00"/>
    <s v="$494.40"/>
    <n v="24225.599999999999"/>
    <s v="$12,360.00"/>
    <n v="11865.6"/>
    <d v="2014-11-01T00:00:00"/>
    <n v="11"/>
    <x v="9"/>
    <x v="0"/>
    <s v="Small"/>
  </r>
  <r>
    <x v="0"/>
    <x v="2"/>
    <x v="5"/>
    <s v="Low"/>
    <n v="941"/>
    <s v="$260.00"/>
    <n v="20"/>
    <s v="$18,820.00"/>
    <s v="$376.40"/>
    <n v="18443.599999999999"/>
    <s v="$9,410.00"/>
    <n v="9033.6"/>
    <d v="2014-11-01T00:00:00"/>
    <n v="11"/>
    <x v="9"/>
    <x v="0"/>
    <s v="Small"/>
  </r>
  <r>
    <x v="4"/>
    <x v="0"/>
    <x v="5"/>
    <s v="Low"/>
    <n v="1916"/>
    <s v="$260.00"/>
    <n v="300"/>
    <s v="$5,74,800.00"/>
    <s v="$11,496.00"/>
    <s v="5,63,304.00"/>
    <s v="$4,79,000.00"/>
    <n v="84304"/>
    <d v="2014-12-01T00:00:00"/>
    <n v="12"/>
    <x v="2"/>
    <x v="0"/>
    <s v="Midium"/>
  </r>
  <r>
    <x v="3"/>
    <x v="2"/>
    <x v="0"/>
    <s v="Low"/>
    <n v="4243.5"/>
    <s v="$3.00"/>
    <n v="125"/>
    <s v="$5,30,437.50"/>
    <s v="$15,913.13"/>
    <s v="5,14,524.38"/>
    <s v="$5,09,220.00"/>
    <n v="5304.38"/>
    <d v="2014-04-01T00:00:00"/>
    <n v="4"/>
    <x v="10"/>
    <x v="0"/>
    <s v="Large"/>
  </r>
  <r>
    <x v="0"/>
    <x v="1"/>
    <x v="0"/>
    <s v="Low"/>
    <n v="2580"/>
    <s v="$3.00"/>
    <n v="20"/>
    <s v="$51,600.00"/>
    <s v="$1,548.00"/>
    <n v="50052"/>
    <s v="$25,800.00"/>
    <n v="24252"/>
    <d v="2014-04-01T00:00:00"/>
    <n v="4"/>
    <x v="10"/>
    <x v="0"/>
    <s v="Midium"/>
  </r>
  <r>
    <x v="4"/>
    <x v="1"/>
    <x v="0"/>
    <s v="Low"/>
    <n v="689"/>
    <s v="$3.00"/>
    <n v="300"/>
    <s v="$2,06,700.00"/>
    <s v="$6,201.00"/>
    <s v="2,00,499.00"/>
    <s v="$1,72,250.00"/>
    <n v="28249"/>
    <d v="2014-06-01T00:00:00"/>
    <n v="6"/>
    <x v="1"/>
    <x v="0"/>
    <s v="Small"/>
  </r>
  <r>
    <x v="2"/>
    <x v="4"/>
    <x v="0"/>
    <s v="Low"/>
    <n v="1947"/>
    <s v="$3.00"/>
    <n v="12"/>
    <s v="$23,364.00"/>
    <s v="$700.92"/>
    <n v="22663.08"/>
    <s v="$5,841.00"/>
    <n v="16822.080000000002"/>
    <d v="2014-09-01T00:00:00"/>
    <n v="9"/>
    <x v="6"/>
    <x v="0"/>
    <s v="Midium"/>
  </r>
  <r>
    <x v="2"/>
    <x v="0"/>
    <x v="0"/>
    <s v="Low"/>
    <n v="908"/>
    <s v="$3.00"/>
    <n v="12"/>
    <s v="$10,896.00"/>
    <s v="$326.88"/>
    <n v="10569.12"/>
    <s v="$2,724.00"/>
    <n v="7845.12"/>
    <d v="2013-12-01T00:00:00"/>
    <n v="12"/>
    <x v="2"/>
    <x v="1"/>
    <s v="Small"/>
  </r>
  <r>
    <x v="0"/>
    <x v="1"/>
    <x v="1"/>
    <s v="Low"/>
    <n v="1958"/>
    <s v="$5.00"/>
    <n v="7"/>
    <s v="$13,706.00"/>
    <s v="$411.18"/>
    <n v="13294.82"/>
    <s v="$9,790.00"/>
    <n v="3504.82"/>
    <d v="2014-02-01T00:00:00"/>
    <n v="2"/>
    <x v="8"/>
    <x v="0"/>
    <s v="Midium"/>
  </r>
  <r>
    <x v="2"/>
    <x v="2"/>
    <x v="1"/>
    <s v="Low"/>
    <n v="1901"/>
    <s v="$5.00"/>
    <n v="12"/>
    <s v="$22,812.00"/>
    <s v="$684.36"/>
    <n v="22127.64"/>
    <s v="$5,703.00"/>
    <n v="16424.64"/>
    <d v="2014-06-01T00:00:00"/>
    <n v="6"/>
    <x v="1"/>
    <x v="0"/>
    <s v="Midium"/>
  </r>
  <r>
    <x v="0"/>
    <x v="2"/>
    <x v="1"/>
    <s v="Low"/>
    <n v="544"/>
    <s v="$5.00"/>
    <n v="7"/>
    <s v="$3,808.00"/>
    <s v="$114.24"/>
    <n v="3693.76"/>
    <s v="$2,720.00"/>
    <n v="973.76"/>
    <d v="2014-09-01T00:00:00"/>
    <n v="9"/>
    <x v="6"/>
    <x v="0"/>
    <s v="Small"/>
  </r>
  <r>
    <x v="0"/>
    <x v="1"/>
    <x v="1"/>
    <s v="Low"/>
    <n v="1797"/>
    <s v="$5.00"/>
    <n v="350"/>
    <s v="$6,28,950.00"/>
    <s v="$18,868.50"/>
    <s v="6,10,081.50"/>
    <s v="$4,67,220.00"/>
    <s v="1,42,861.50"/>
    <d v="2013-09-01T00:00:00"/>
    <n v="9"/>
    <x v="6"/>
    <x v="1"/>
    <s v="Midium"/>
  </r>
  <r>
    <x v="3"/>
    <x v="2"/>
    <x v="1"/>
    <s v="Low"/>
    <n v="1287"/>
    <s v="$5.00"/>
    <n v="125"/>
    <s v="$1,60,875.00"/>
    <s v="$4,826.25"/>
    <s v="1,56,048.75"/>
    <s v="$1,54,440.00"/>
    <n v="1608.75"/>
    <d v="2014-12-01T00:00:00"/>
    <n v="12"/>
    <x v="2"/>
    <x v="0"/>
    <s v="Small"/>
  </r>
  <r>
    <x v="3"/>
    <x v="1"/>
    <x v="1"/>
    <s v="Low"/>
    <n v="1706"/>
    <s v="$5.00"/>
    <n v="125"/>
    <s v="$2,13,250.00"/>
    <s v="$6,397.50"/>
    <s v="2,06,852.50"/>
    <s v="$2,04,720.00"/>
    <n v="2132.5"/>
    <d v="2014-12-01T00:00:00"/>
    <n v="12"/>
    <x v="2"/>
    <x v="0"/>
    <s v="Midium"/>
  </r>
  <r>
    <x v="4"/>
    <x v="2"/>
    <x v="2"/>
    <s v="Low"/>
    <n v="2434.5"/>
    <s v="$10.00"/>
    <n v="300"/>
    <s v="$7,30,350.00"/>
    <s v="$21,910.50"/>
    <s v="7,08,439.50"/>
    <s v="$6,08,625.00"/>
    <n v="99814.5"/>
    <d v="2014-01-01T00:00:00"/>
    <n v="1"/>
    <x v="0"/>
    <x v="0"/>
    <s v="Midium"/>
  </r>
  <r>
    <x v="3"/>
    <x v="0"/>
    <x v="2"/>
    <s v="Low"/>
    <n v="1774"/>
    <s v="$10.00"/>
    <n v="125"/>
    <s v="$2,21,750.00"/>
    <s v="$6,652.50"/>
    <s v="2,15,097.50"/>
    <s v="$2,12,880.00"/>
    <n v="2217.5"/>
    <d v="2014-03-01T00:00:00"/>
    <n v="3"/>
    <x v="3"/>
    <x v="0"/>
    <s v="Midium"/>
  </r>
  <r>
    <x v="2"/>
    <x v="2"/>
    <x v="2"/>
    <s v="Low"/>
    <n v="1901"/>
    <s v="$10.00"/>
    <n v="12"/>
    <s v="$22,812.00"/>
    <s v="$684.36"/>
    <n v="22127.64"/>
    <s v="$5,703.00"/>
    <n v="16424.64"/>
    <d v="2014-06-01T00:00:00"/>
    <n v="6"/>
    <x v="1"/>
    <x v="0"/>
    <s v="Midium"/>
  </r>
  <r>
    <x v="4"/>
    <x v="1"/>
    <x v="2"/>
    <s v="Low"/>
    <n v="689"/>
    <s v="$10.00"/>
    <n v="300"/>
    <s v="$2,06,700.00"/>
    <s v="$6,201.00"/>
    <s v="2,00,499.00"/>
    <s v="$1,72,250.00"/>
    <n v="28249"/>
    <d v="2014-06-01T00:00:00"/>
    <n v="6"/>
    <x v="1"/>
    <x v="0"/>
    <s v="Small"/>
  </r>
  <r>
    <x v="3"/>
    <x v="1"/>
    <x v="2"/>
    <s v="Low"/>
    <n v="1570"/>
    <s v="$10.00"/>
    <n v="125"/>
    <s v="$1,96,250.00"/>
    <s v="$5,887.50"/>
    <s v="1,90,362.50"/>
    <s v="$1,88,400.00"/>
    <n v="1962.5"/>
    <d v="2014-06-01T00:00:00"/>
    <n v="6"/>
    <x v="1"/>
    <x v="0"/>
    <s v="Midium"/>
  </r>
  <r>
    <x v="2"/>
    <x v="4"/>
    <x v="2"/>
    <s v="Low"/>
    <n v="1369.5"/>
    <s v="$10.00"/>
    <n v="12"/>
    <s v="$16,434.00"/>
    <s v="$493.02"/>
    <n v="15940.98"/>
    <s v="$4,108.50"/>
    <n v="11832.48"/>
    <d v="2014-07-01T00:00:00"/>
    <n v="7"/>
    <x v="4"/>
    <x v="0"/>
    <s v="Small"/>
  </r>
  <r>
    <x v="3"/>
    <x v="0"/>
    <x v="2"/>
    <s v="Low"/>
    <n v="2009"/>
    <s v="$10.00"/>
    <n v="125"/>
    <s v="$2,51,125.00"/>
    <s v="$7,533.75"/>
    <s v="2,43,591.25"/>
    <s v="$2,41,080.00"/>
    <n v="2511.25"/>
    <d v="2014-10-01T00:00:00"/>
    <n v="10"/>
    <x v="7"/>
    <x v="0"/>
    <s v="Midium"/>
  </r>
  <r>
    <x v="1"/>
    <x v="1"/>
    <x v="2"/>
    <s v="Low"/>
    <n v="1945"/>
    <s v="$10.00"/>
    <n v="15"/>
    <s v="$29,175.00"/>
    <s v="$875.25"/>
    <n v="28299.75"/>
    <s v="$19,450.00"/>
    <n v="8849.75"/>
    <d v="2013-10-01T00:00:00"/>
    <n v="10"/>
    <x v="7"/>
    <x v="1"/>
    <s v="Midium"/>
  </r>
  <r>
    <x v="3"/>
    <x v="2"/>
    <x v="2"/>
    <s v="Low"/>
    <n v="1287"/>
    <s v="$10.00"/>
    <n v="125"/>
    <s v="$1,60,875.00"/>
    <s v="$4,826.25"/>
    <s v="1,56,048.75"/>
    <s v="$1,54,440.00"/>
    <n v="1608.75"/>
    <d v="2014-12-01T00:00:00"/>
    <n v="12"/>
    <x v="2"/>
    <x v="0"/>
    <s v="Small"/>
  </r>
  <r>
    <x v="3"/>
    <x v="1"/>
    <x v="2"/>
    <s v="Low"/>
    <n v="1706"/>
    <s v="$10.00"/>
    <n v="125"/>
    <s v="$2,13,250.00"/>
    <s v="$6,397.50"/>
    <s v="2,06,852.50"/>
    <s v="$2,04,720.00"/>
    <n v="2132.5"/>
    <d v="2014-12-01T00:00:00"/>
    <n v="12"/>
    <x v="2"/>
    <x v="0"/>
    <s v="Midium"/>
  </r>
  <r>
    <x v="3"/>
    <x v="0"/>
    <x v="3"/>
    <s v="Low"/>
    <n v="2009"/>
    <s v="$120.00"/>
    <n v="125"/>
    <s v="$2,51,125.00"/>
    <s v="$7,533.75"/>
    <s v="2,43,591.25"/>
    <s v="$2,41,080.00"/>
    <n v="2511.25"/>
    <d v="2014-10-01T00:00:00"/>
    <n v="10"/>
    <x v="7"/>
    <x v="0"/>
    <s v="Midium"/>
  </r>
  <r>
    <x v="4"/>
    <x v="4"/>
    <x v="4"/>
    <s v="Low"/>
    <n v="2844"/>
    <s v="$250.00"/>
    <n v="300"/>
    <s v="$8,53,200.00"/>
    <s v="$25,596.00"/>
    <s v="8,27,604.00"/>
    <s v="$7,11,000.00"/>
    <s v="1,16,604.00"/>
    <d v="2014-02-01T00:00:00"/>
    <n v="2"/>
    <x v="8"/>
    <x v="0"/>
    <s v="Midium"/>
  </r>
  <r>
    <x v="2"/>
    <x v="3"/>
    <x v="4"/>
    <s v="Low"/>
    <n v="1916"/>
    <s v="$250.00"/>
    <n v="12"/>
    <s v="$22,992.00"/>
    <s v="$689.76"/>
    <n v="22302.240000000002"/>
    <s v="$5,748.00"/>
    <n v="16554.240000000002"/>
    <d v="2014-04-01T00:00:00"/>
    <n v="4"/>
    <x v="10"/>
    <x v="0"/>
    <s v="Midium"/>
  </r>
  <r>
    <x v="3"/>
    <x v="1"/>
    <x v="4"/>
    <s v="Low"/>
    <n v="1570"/>
    <s v="$250.00"/>
    <n v="125"/>
    <s v="$1,96,250.00"/>
    <s v="$5,887.50"/>
    <s v="1,90,362.50"/>
    <s v="$1,88,400.00"/>
    <n v="1962.5"/>
    <d v="2014-06-01T00:00:00"/>
    <n v="6"/>
    <x v="1"/>
    <x v="0"/>
    <s v="Midium"/>
  </r>
  <r>
    <x v="4"/>
    <x v="0"/>
    <x v="4"/>
    <s v="Low"/>
    <n v="1874"/>
    <s v="$250.00"/>
    <n v="300"/>
    <s v="$5,62,200.00"/>
    <s v="$16,866.00"/>
    <s v="5,45,334.00"/>
    <s v="$4,68,500.00"/>
    <n v="76834"/>
    <d v="2014-08-01T00:00:00"/>
    <n v="8"/>
    <x v="5"/>
    <x v="0"/>
    <s v="Midium"/>
  </r>
  <r>
    <x v="0"/>
    <x v="3"/>
    <x v="4"/>
    <s v="Low"/>
    <n v="1642"/>
    <s v="$250.00"/>
    <n v="350"/>
    <s v="$5,74,700.00"/>
    <s v="$17,241.00"/>
    <s v="5,57,459.00"/>
    <s v="$4,26,920.00"/>
    <s v="1,30,539.00"/>
    <d v="2014-08-01T00:00:00"/>
    <n v="8"/>
    <x v="5"/>
    <x v="0"/>
    <s v="Midium"/>
  </r>
  <r>
    <x v="1"/>
    <x v="1"/>
    <x v="4"/>
    <s v="Low"/>
    <n v="1945"/>
    <s v="$250.00"/>
    <n v="15"/>
    <s v="$29,175.00"/>
    <s v="$875.25"/>
    <n v="28299.75"/>
    <s v="$19,450.00"/>
    <n v="8849.75"/>
    <d v="2013-10-01T00:00:00"/>
    <n v="10"/>
    <x v="7"/>
    <x v="1"/>
    <s v="Midium"/>
  </r>
  <r>
    <x v="0"/>
    <x v="0"/>
    <x v="0"/>
    <s v="Low"/>
    <n v="831"/>
    <s v="$3.00"/>
    <n v="20"/>
    <s v="$16,620.00"/>
    <s v="$498.60"/>
    <n v="16121.4"/>
    <s v="$8,310.00"/>
    <n v="7811.4"/>
    <d v="2014-05-01T00:00:00"/>
    <n v="5"/>
    <x v="11"/>
    <x v="0"/>
    <s v="Small"/>
  </r>
  <r>
    <x v="0"/>
    <x v="3"/>
    <x v="2"/>
    <s v="Low"/>
    <n v="1760"/>
    <s v="$10.00"/>
    <n v="7"/>
    <s v="$12,320.00"/>
    <s v="$369.60"/>
    <n v="11950.4"/>
    <s v="$8,800.00"/>
    <n v="3150.4"/>
    <d v="2013-09-01T00:00:00"/>
    <n v="9"/>
    <x v="6"/>
    <x v="1"/>
    <s v="Midium"/>
  </r>
  <r>
    <x v="0"/>
    <x v="0"/>
    <x v="3"/>
    <s v="Low"/>
    <n v="3850.5"/>
    <s v="$120.00"/>
    <n v="20"/>
    <s v="$77,010.00"/>
    <s v="$2,310.30"/>
    <n v="74699.7"/>
    <s v="$38,505.00"/>
    <n v="36194.699999999997"/>
    <d v="2014-04-01T00:00:00"/>
    <n v="4"/>
    <x v="10"/>
    <x v="0"/>
    <s v="Large"/>
  </r>
  <r>
    <x v="2"/>
    <x v="1"/>
    <x v="4"/>
    <s v="Low"/>
    <n v="2479"/>
    <s v="$250.00"/>
    <n v="12"/>
    <s v="$29,748.00"/>
    <s v="$892.44"/>
    <n v="28855.56"/>
    <s v="$7,437.00"/>
    <n v="21418.560000000001"/>
    <d v="2014-01-01T00:00:00"/>
    <n v="1"/>
    <x v="0"/>
    <x v="0"/>
    <s v="Midium"/>
  </r>
  <r>
    <x v="1"/>
    <x v="3"/>
    <x v="1"/>
    <s v="Low"/>
    <n v="2031"/>
    <s v="$5.00"/>
    <n v="15"/>
    <s v="$30,465.00"/>
    <s v="$1,218.60"/>
    <n v="29246.400000000001"/>
    <s v="$20,310.00"/>
    <n v="8936.4"/>
    <d v="2014-10-01T00:00:00"/>
    <n v="10"/>
    <x v="7"/>
    <x v="0"/>
    <s v="Midium"/>
  </r>
  <r>
    <x v="1"/>
    <x v="3"/>
    <x v="2"/>
    <s v="Low"/>
    <n v="2031"/>
    <s v="$10.00"/>
    <n v="15"/>
    <s v="$30,465.00"/>
    <s v="$1,218.60"/>
    <n v="29246.400000000001"/>
    <s v="$20,310.00"/>
    <n v="8936.4"/>
    <d v="2014-10-01T00:00:00"/>
    <n v="10"/>
    <x v="7"/>
    <x v="0"/>
    <s v="Midium"/>
  </r>
  <r>
    <x v="1"/>
    <x v="2"/>
    <x v="2"/>
    <s v="Low"/>
    <n v="2261"/>
    <s v="$10.00"/>
    <n v="15"/>
    <s v="$33,915.00"/>
    <s v="$1,356.60"/>
    <n v="32558.400000000001"/>
    <s v="$22,610.00"/>
    <n v="9948.4"/>
    <d v="2013-12-01T00:00:00"/>
    <n v="12"/>
    <x v="2"/>
    <x v="1"/>
    <s v="Midium"/>
  </r>
  <r>
    <x v="0"/>
    <x v="4"/>
    <x v="3"/>
    <s v="Low"/>
    <n v="736"/>
    <s v="$120.00"/>
    <n v="20"/>
    <s v="$14,720.00"/>
    <s v="$588.80"/>
    <n v="14131.2"/>
    <s v="$7,360.00"/>
    <n v="6771.2"/>
    <d v="2013-09-01T00:00:00"/>
    <n v="9"/>
    <x v="6"/>
    <x v="1"/>
    <s v="Small"/>
  </r>
  <r>
    <x v="0"/>
    <x v="0"/>
    <x v="0"/>
    <s v="Low"/>
    <n v="2851"/>
    <s v="$3.00"/>
    <n v="7"/>
    <s v="$19,957.00"/>
    <s v="$798.28"/>
    <n v="19158.72"/>
    <s v="$14,255.00"/>
    <n v="4903.72"/>
    <d v="2013-10-01T00:00:00"/>
    <n v="10"/>
    <x v="7"/>
    <x v="1"/>
    <s v="Midium"/>
  </r>
  <r>
    <x v="4"/>
    <x v="1"/>
    <x v="0"/>
    <s v="Low"/>
    <n v="2021"/>
    <s v="$3.00"/>
    <n v="300"/>
    <s v="$6,06,300.00"/>
    <s v="$24,252.00"/>
    <s v="5,82,048.00"/>
    <s v="$5,05,250.00"/>
    <n v="76798"/>
    <d v="2014-10-01T00:00:00"/>
    <n v="10"/>
    <x v="7"/>
    <x v="0"/>
    <s v="Midium"/>
  </r>
  <r>
    <x v="0"/>
    <x v="4"/>
    <x v="0"/>
    <s v="Low"/>
    <n v="274"/>
    <s v="$3.00"/>
    <n v="350"/>
    <s v="$95,900.00"/>
    <s v="$3,836.00"/>
    <n v="92064"/>
    <s v="$71,240.00"/>
    <n v="20824"/>
    <d v="2014-12-01T00:00:00"/>
    <n v="12"/>
    <x v="2"/>
    <x v="0"/>
    <s v="Small"/>
  </r>
  <r>
    <x v="1"/>
    <x v="0"/>
    <x v="1"/>
    <s v="Low"/>
    <n v="1967"/>
    <s v="$5.00"/>
    <n v="15"/>
    <s v="$29,505.00"/>
    <s v="$1,180.20"/>
    <n v="28324.799999999999"/>
    <s v="$19,670.00"/>
    <n v="8654.7999999999993"/>
    <d v="2014-03-01T00:00:00"/>
    <n v="3"/>
    <x v="3"/>
    <x v="0"/>
    <s v="Midium"/>
  </r>
  <r>
    <x v="4"/>
    <x v="1"/>
    <x v="1"/>
    <s v="Low"/>
    <n v="1859"/>
    <s v="$5.00"/>
    <n v="300"/>
    <s v="$5,57,700.00"/>
    <s v="$22,308.00"/>
    <s v="5,35,392.00"/>
    <s v="$4,64,750.00"/>
    <n v="70642"/>
    <d v="2014-08-01T00:00:00"/>
    <n v="8"/>
    <x v="5"/>
    <x v="0"/>
    <s v="Midium"/>
  </r>
  <r>
    <x v="0"/>
    <x v="0"/>
    <x v="1"/>
    <s v="Low"/>
    <n v="2851"/>
    <s v="$5.00"/>
    <n v="7"/>
    <s v="$19,957.00"/>
    <s v="$798.28"/>
    <n v="19158.72"/>
    <s v="$14,255.00"/>
    <n v="4903.72"/>
    <d v="2013-10-01T00:00:00"/>
    <n v="10"/>
    <x v="7"/>
    <x v="1"/>
    <s v="Midium"/>
  </r>
  <r>
    <x v="4"/>
    <x v="1"/>
    <x v="1"/>
    <s v="Low"/>
    <n v="2021"/>
    <s v="$5.00"/>
    <n v="300"/>
    <s v="$6,06,300.00"/>
    <s v="$24,252.00"/>
    <s v="5,82,048.00"/>
    <s v="$5,05,250.00"/>
    <n v="76798"/>
    <d v="2014-10-01T00:00:00"/>
    <n v="10"/>
    <x v="7"/>
    <x v="0"/>
    <s v="Midium"/>
  </r>
  <r>
    <x v="3"/>
    <x v="3"/>
    <x v="1"/>
    <s v="Low"/>
    <n v="1138"/>
    <s v="$5.00"/>
    <n v="125"/>
    <s v="$1,42,250.00"/>
    <s v="$5,690.00"/>
    <s v="1,36,560.00"/>
    <s v="$1,36,560.00"/>
    <m/>
    <d v="2014-12-01T00:00:00"/>
    <n v="12"/>
    <x v="2"/>
    <x v="0"/>
    <s v="Small"/>
  </r>
  <r>
    <x v="0"/>
    <x v="0"/>
    <x v="2"/>
    <s v="Low"/>
    <n v="4251"/>
    <s v="$10.00"/>
    <n v="7"/>
    <s v="$29,757.00"/>
    <s v="$1,190.28"/>
    <n v="28566.720000000001"/>
    <s v="$21,255.00"/>
    <n v="7311.72"/>
    <d v="2014-01-01T00:00:00"/>
    <n v="1"/>
    <x v="0"/>
    <x v="0"/>
    <s v="Large"/>
  </r>
  <r>
    <x v="3"/>
    <x v="1"/>
    <x v="2"/>
    <s v="Low"/>
    <n v="795"/>
    <s v="$10.00"/>
    <n v="125"/>
    <s v="$99,375.00"/>
    <s v="$3,975.00"/>
    <n v="95400"/>
    <s v="$95,400.00"/>
    <m/>
    <d v="2014-03-01T00:00:00"/>
    <n v="3"/>
    <x v="3"/>
    <x v="0"/>
    <s v="Small"/>
  </r>
  <r>
    <x v="4"/>
    <x v="1"/>
    <x v="2"/>
    <s v="Low"/>
    <n v="1414.5"/>
    <s v="$10.00"/>
    <n v="300"/>
    <s v="$4,24,350.00"/>
    <s v="$16,974.00"/>
    <s v="4,07,376.00"/>
    <s v="$3,53,625.00"/>
    <n v="53751"/>
    <d v="2014-04-01T00:00:00"/>
    <n v="4"/>
    <x v="10"/>
    <x v="0"/>
    <s v="Small"/>
  </r>
  <r>
    <x v="4"/>
    <x v="4"/>
    <x v="2"/>
    <s v="Low"/>
    <n v="2918"/>
    <s v="$10.00"/>
    <n v="300"/>
    <s v="$8,75,400.00"/>
    <s v="$35,016.00"/>
    <s v="8,40,384.00"/>
    <s v="$7,29,500.00"/>
    <s v="1,10,884.00"/>
    <d v="2014-05-01T00:00:00"/>
    <n v="5"/>
    <x v="11"/>
    <x v="0"/>
    <s v="Midium"/>
  </r>
  <r>
    <x v="0"/>
    <x v="4"/>
    <x v="2"/>
    <s v="Low"/>
    <n v="3450"/>
    <s v="$10.00"/>
    <n v="350"/>
    <s v="$12,07,500.00"/>
    <s v="$48,300.00"/>
    <s v="11,59,200.00"/>
    <s v="$8,97,000.00"/>
    <s v="2,62,200.00"/>
    <d v="2014-07-01T00:00:00"/>
    <n v="7"/>
    <x v="4"/>
    <x v="0"/>
    <s v="Large"/>
  </r>
  <r>
    <x v="3"/>
    <x v="2"/>
    <x v="2"/>
    <s v="Low"/>
    <n v="2988"/>
    <s v="$10.00"/>
    <n v="125"/>
    <s v="$3,73,500.00"/>
    <s v="$14,940.00"/>
    <s v="3,58,560.00"/>
    <s v="$3,58,560.00"/>
    <m/>
    <d v="2014-07-01T00:00:00"/>
    <n v="7"/>
    <x v="4"/>
    <x v="0"/>
    <s v="Midium"/>
  </r>
  <r>
    <x v="1"/>
    <x v="0"/>
    <x v="2"/>
    <s v="Low"/>
    <n v="218"/>
    <s v="$10.00"/>
    <n v="15"/>
    <s v="$3,270.00"/>
    <s v="$130.80"/>
    <n v="3139.2"/>
    <s v="$2,180.00"/>
    <n v="959.2"/>
    <d v="2014-09-01T00:00:00"/>
    <n v="9"/>
    <x v="6"/>
    <x v="0"/>
    <s v="Small"/>
  </r>
  <r>
    <x v="0"/>
    <x v="0"/>
    <x v="2"/>
    <s v="Low"/>
    <n v="2074"/>
    <s v="$10.00"/>
    <n v="20"/>
    <s v="$41,480.00"/>
    <s v="$1,659.20"/>
    <n v="39820.800000000003"/>
    <s v="$20,740.00"/>
    <n v="19080.8"/>
    <d v="2014-09-01T00:00:00"/>
    <n v="9"/>
    <x v="6"/>
    <x v="0"/>
    <s v="Midium"/>
  </r>
  <r>
    <x v="0"/>
    <x v="4"/>
    <x v="2"/>
    <s v="Low"/>
    <n v="1056"/>
    <s v="$10.00"/>
    <n v="20"/>
    <s v="$21,120.00"/>
    <s v="$844.80"/>
    <n v="20275.2"/>
    <s v="$10,560.00"/>
    <n v="9715.2000000000007"/>
    <d v="2014-09-01T00:00:00"/>
    <n v="9"/>
    <x v="6"/>
    <x v="0"/>
    <s v="Small"/>
  </r>
  <r>
    <x v="1"/>
    <x v="4"/>
    <x v="2"/>
    <s v="Low"/>
    <n v="671"/>
    <s v="$10.00"/>
    <n v="15"/>
    <s v="$10,065.00"/>
    <s v="$402.60"/>
    <n v="9662.4"/>
    <s v="$6,710.00"/>
    <n v="2952.4"/>
    <d v="2013-10-01T00:00:00"/>
    <n v="10"/>
    <x v="7"/>
    <x v="1"/>
    <s v="Small"/>
  </r>
  <r>
    <x v="1"/>
    <x v="3"/>
    <x v="2"/>
    <s v="Low"/>
    <n v="1514"/>
    <s v="$10.00"/>
    <n v="15"/>
    <s v="$22,710.00"/>
    <s v="$908.40"/>
    <n v="21801.599999999999"/>
    <s v="$15,140.00"/>
    <n v="6661.6"/>
    <d v="2013-10-01T00:00:00"/>
    <n v="10"/>
    <x v="7"/>
    <x v="1"/>
    <s v="Midium"/>
  </r>
  <r>
    <x v="0"/>
    <x v="4"/>
    <x v="2"/>
    <s v="Low"/>
    <n v="274"/>
    <s v="$10.00"/>
    <n v="350"/>
    <s v="$95,900.00"/>
    <s v="$3,836.00"/>
    <n v="92064"/>
    <s v="$71,240.00"/>
    <n v="20824"/>
    <d v="2014-12-01T00:00:00"/>
    <n v="12"/>
    <x v="2"/>
    <x v="0"/>
    <s v="Small"/>
  </r>
  <r>
    <x v="3"/>
    <x v="3"/>
    <x v="2"/>
    <s v="Low"/>
    <n v="1138"/>
    <s v="$10.00"/>
    <n v="125"/>
    <s v="$1,42,250.00"/>
    <s v="$5,690.00"/>
    <s v="1,36,560.00"/>
    <s v="$1,36,560.00"/>
    <m/>
    <d v="2014-12-01T00:00:00"/>
    <n v="12"/>
    <x v="2"/>
    <x v="0"/>
    <s v="Small"/>
  </r>
  <r>
    <x v="2"/>
    <x v="4"/>
    <x v="3"/>
    <s v="Low"/>
    <n v="1465"/>
    <s v="$120.00"/>
    <n v="12"/>
    <s v="$17,580.00"/>
    <s v="$703.20"/>
    <n v="16876.8"/>
    <s v="$4,395.00"/>
    <n v="12481.8"/>
    <d v="2014-03-01T00:00:00"/>
    <n v="3"/>
    <x v="3"/>
    <x v="0"/>
    <s v="Small"/>
  </r>
  <r>
    <x v="0"/>
    <x v="0"/>
    <x v="3"/>
    <s v="Low"/>
    <n v="2646"/>
    <s v="$120.00"/>
    <n v="20"/>
    <s v="$52,920.00"/>
    <s v="$2,116.80"/>
    <n v="50803.199999999997"/>
    <s v="$26,460.00"/>
    <n v="24343.200000000001"/>
    <d v="2013-09-01T00:00:00"/>
    <n v="9"/>
    <x v="6"/>
    <x v="1"/>
    <s v="Midium"/>
  </r>
  <r>
    <x v="0"/>
    <x v="2"/>
    <x v="3"/>
    <s v="Low"/>
    <n v="2177"/>
    <s v="$120.00"/>
    <n v="350"/>
    <s v="$7,61,950.00"/>
    <s v="$30,478.00"/>
    <s v="7,31,472.00"/>
    <s v="$5,66,020.00"/>
    <s v="1,65,452.00"/>
    <d v="2014-10-01T00:00:00"/>
    <n v="10"/>
    <x v="7"/>
    <x v="0"/>
    <s v="Midium"/>
  </r>
  <r>
    <x v="2"/>
    <x v="2"/>
    <x v="4"/>
    <s v="Low"/>
    <n v="866"/>
    <s v="$250.00"/>
    <n v="12"/>
    <s v="$10,392.00"/>
    <s v="$415.68"/>
    <n v="9976.32"/>
    <s v="$2,598.00"/>
    <n v="7378.32"/>
    <d v="2014-05-01T00:00:00"/>
    <n v="5"/>
    <x v="11"/>
    <x v="0"/>
    <s v="Small"/>
  </r>
  <r>
    <x v="0"/>
    <x v="4"/>
    <x v="4"/>
    <s v="Low"/>
    <n v="349"/>
    <s v="$250.00"/>
    <n v="350"/>
    <s v="$1,22,150.00"/>
    <s v="$4,886.00"/>
    <s v="1,17,264.00"/>
    <s v="$90,740.00"/>
    <n v="26524"/>
    <d v="2013-09-01T00:00:00"/>
    <n v="9"/>
    <x v="6"/>
    <x v="1"/>
    <s v="Small"/>
  </r>
  <r>
    <x v="0"/>
    <x v="2"/>
    <x v="4"/>
    <s v="Low"/>
    <n v="2177"/>
    <s v="$250.00"/>
    <n v="350"/>
    <s v="$7,61,950.00"/>
    <s v="$30,478.00"/>
    <s v="7,31,472.00"/>
    <s v="$5,66,020.00"/>
    <s v="1,65,452.00"/>
    <d v="2014-10-01T00:00:00"/>
    <n v="10"/>
    <x v="7"/>
    <x v="0"/>
    <s v="Midium"/>
  </r>
  <r>
    <x v="1"/>
    <x v="3"/>
    <x v="4"/>
    <s v="Low"/>
    <n v="1514"/>
    <s v="$250.00"/>
    <n v="15"/>
    <s v="$22,710.00"/>
    <s v="$908.40"/>
    <n v="21801.599999999999"/>
    <s v="$15,140.00"/>
    <n v="6661.6"/>
    <d v="2013-10-01T00:00:00"/>
    <n v="10"/>
    <x v="7"/>
    <x v="1"/>
    <s v="Midium"/>
  </r>
  <r>
    <x v="0"/>
    <x v="3"/>
    <x v="5"/>
    <s v="Low"/>
    <n v="1865"/>
    <s v="$260.00"/>
    <n v="350"/>
    <s v="$6,52,750.00"/>
    <s v="$26,110.00"/>
    <s v="6,26,640.00"/>
    <s v="$4,84,900.00"/>
    <s v="1,41,740.00"/>
    <d v="2014-02-01T00:00:00"/>
    <n v="2"/>
    <x v="8"/>
    <x v="0"/>
    <s v="Midium"/>
  </r>
  <r>
    <x v="3"/>
    <x v="3"/>
    <x v="5"/>
    <s v="Low"/>
    <n v="1074"/>
    <s v="$260.00"/>
    <n v="125"/>
    <s v="$1,34,250.00"/>
    <s v="$5,370.00"/>
    <s v="1,28,880.00"/>
    <s v="$1,28,880.00"/>
    <m/>
    <d v="2014-04-01T00:00:00"/>
    <n v="4"/>
    <x v="10"/>
    <x v="0"/>
    <s v="Small"/>
  </r>
  <r>
    <x v="0"/>
    <x v="1"/>
    <x v="5"/>
    <s v="Low"/>
    <n v="1907"/>
    <s v="$260.00"/>
    <n v="350"/>
    <s v="$6,67,450.00"/>
    <s v="$26,698.00"/>
    <s v="6,40,752.00"/>
    <s v="$4,95,820.00"/>
    <s v="1,44,932.00"/>
    <d v="2014-09-01T00:00:00"/>
    <n v="9"/>
    <x v="6"/>
    <x v="0"/>
    <s v="Midium"/>
  </r>
  <r>
    <x v="1"/>
    <x v="4"/>
    <x v="5"/>
    <s v="Low"/>
    <n v="671"/>
    <s v="$260.00"/>
    <n v="15"/>
    <s v="$10,065.00"/>
    <s v="$402.60"/>
    <n v="9662.4"/>
    <s v="$6,710.00"/>
    <n v="2952.4"/>
    <d v="2013-10-01T00:00:00"/>
    <n v="10"/>
    <x v="7"/>
    <x v="1"/>
    <s v="Small"/>
  </r>
  <r>
    <x v="0"/>
    <x v="0"/>
    <x v="5"/>
    <s v="Low"/>
    <n v="1778"/>
    <s v="$260.00"/>
    <n v="350"/>
    <s v="$6,22,300.00"/>
    <s v="$24,892.00"/>
    <s v="5,97,408.00"/>
    <s v="$4,62,280.00"/>
    <s v="1,35,128.00"/>
    <d v="2013-12-01T00:00:00"/>
    <n v="12"/>
    <x v="2"/>
    <x v="1"/>
    <s v="Midium"/>
  </r>
  <r>
    <x v="0"/>
    <x v="1"/>
    <x v="1"/>
    <s v="Medium"/>
    <n v="1159"/>
    <s v="$5.00"/>
    <n v="7"/>
    <s v="$8,113.00"/>
    <s v="$405.65"/>
    <n v="7707.35"/>
    <s v="$5,795.00"/>
    <n v="1912.35"/>
    <d v="2013-10-01T00:00:00"/>
    <n v="10"/>
    <x v="7"/>
    <x v="1"/>
    <s v="Small"/>
  </r>
  <r>
    <x v="0"/>
    <x v="1"/>
    <x v="2"/>
    <s v="Medium"/>
    <n v="1372"/>
    <s v="$10.00"/>
    <n v="7"/>
    <s v="$9,604.00"/>
    <s v="$480.20"/>
    <n v="9123.7999999999993"/>
    <s v="$6,860.00"/>
    <n v="2263.8000000000002"/>
    <d v="2014-01-01T00:00:00"/>
    <n v="1"/>
    <x v="0"/>
    <x v="0"/>
    <s v="Small"/>
  </r>
  <r>
    <x v="0"/>
    <x v="0"/>
    <x v="2"/>
    <s v="Medium"/>
    <n v="2349"/>
    <s v="$10.00"/>
    <n v="7"/>
    <s v="$16,443.00"/>
    <s v="$822.15"/>
    <n v="15620.85"/>
    <s v="$11,745.00"/>
    <n v="3875.85"/>
    <d v="2013-09-01T00:00:00"/>
    <n v="9"/>
    <x v="6"/>
    <x v="1"/>
    <s v="Midium"/>
  </r>
  <r>
    <x v="0"/>
    <x v="3"/>
    <x v="2"/>
    <s v="Medium"/>
    <n v="2689"/>
    <s v="$10.00"/>
    <n v="7"/>
    <s v="$18,823.00"/>
    <s v="$941.15"/>
    <n v="17881.849999999999"/>
    <s v="$13,445.00"/>
    <n v="4436.8500000000004"/>
    <d v="2014-10-01T00:00:00"/>
    <n v="10"/>
    <x v="7"/>
    <x v="0"/>
    <s v="Midium"/>
  </r>
  <r>
    <x v="2"/>
    <x v="0"/>
    <x v="2"/>
    <s v="Medium"/>
    <n v="2431"/>
    <s v="$10.00"/>
    <n v="12"/>
    <s v="$29,172.00"/>
    <s v="$1,458.60"/>
    <n v="27713.4"/>
    <s v="$7,293.00"/>
    <n v="20420.400000000001"/>
    <d v="2014-12-01T00:00:00"/>
    <n v="12"/>
    <x v="2"/>
    <x v="0"/>
    <s v="Midium"/>
  </r>
  <r>
    <x v="2"/>
    <x v="0"/>
    <x v="3"/>
    <s v="Medium"/>
    <n v="2431"/>
    <s v="$120.00"/>
    <n v="12"/>
    <s v="$29,172.00"/>
    <s v="$1,458.60"/>
    <n v="27713.4"/>
    <s v="$7,293.00"/>
    <n v="20420.400000000001"/>
    <d v="2014-12-01T00:00:00"/>
    <n v="12"/>
    <x v="2"/>
    <x v="0"/>
    <s v="Midium"/>
  </r>
  <r>
    <x v="0"/>
    <x v="3"/>
    <x v="4"/>
    <s v="Medium"/>
    <n v="2689"/>
    <s v="$250.00"/>
    <n v="7"/>
    <s v="$18,823.00"/>
    <s v="$941.15"/>
    <n v="17881.849999999999"/>
    <s v="$13,445.00"/>
    <n v="4436.8500000000004"/>
    <d v="2014-10-01T00:00:00"/>
    <n v="10"/>
    <x v="7"/>
    <x v="0"/>
    <s v="Midium"/>
  </r>
  <r>
    <x v="0"/>
    <x v="3"/>
    <x v="5"/>
    <s v="Medium"/>
    <n v="1683"/>
    <s v="$260.00"/>
    <n v="7"/>
    <s v="$11,781.00"/>
    <s v="$589.05"/>
    <n v="11191.95"/>
    <s v="$8,415.00"/>
    <n v="2776.95"/>
    <d v="2014-07-01T00:00:00"/>
    <n v="7"/>
    <x v="4"/>
    <x v="0"/>
    <s v="Midium"/>
  </r>
  <r>
    <x v="2"/>
    <x v="3"/>
    <x v="5"/>
    <s v="Medium"/>
    <n v="1123"/>
    <s v="$260.00"/>
    <n v="12"/>
    <s v="$13,476.00"/>
    <s v="$673.80"/>
    <n v="12802.2"/>
    <s v="$3,369.00"/>
    <n v="9433.2000000000007"/>
    <d v="2014-08-01T00:00:00"/>
    <n v="8"/>
    <x v="5"/>
    <x v="0"/>
    <s v="Small"/>
  </r>
  <r>
    <x v="0"/>
    <x v="1"/>
    <x v="5"/>
    <s v="Medium"/>
    <n v="1159"/>
    <s v="$260.00"/>
    <n v="7"/>
    <s v="$8,113.00"/>
    <s v="$405.65"/>
    <n v="7707.35"/>
    <s v="$5,795.00"/>
    <n v="1912.35"/>
    <d v="2013-10-01T00:00:00"/>
    <n v="10"/>
    <x v="7"/>
    <x v="1"/>
    <s v="Small"/>
  </r>
  <r>
    <x v="2"/>
    <x v="2"/>
    <x v="0"/>
    <s v="Medium"/>
    <n v="1865"/>
    <s v="$3.00"/>
    <n v="12"/>
    <s v="$22,380.00"/>
    <s v="$1,119.00"/>
    <n v="21261"/>
    <s v="$5,595.00"/>
    <n v="15666"/>
    <d v="2014-02-01T00:00:00"/>
    <n v="2"/>
    <x v="8"/>
    <x v="0"/>
    <s v="Midium"/>
  </r>
  <r>
    <x v="2"/>
    <x v="1"/>
    <x v="0"/>
    <s v="Medium"/>
    <n v="1116"/>
    <s v="$3.00"/>
    <n v="12"/>
    <s v="$13,392.00"/>
    <s v="$669.60"/>
    <n v="12722.4"/>
    <s v="$3,348.00"/>
    <n v="9374.4"/>
    <d v="2014-02-01T00:00:00"/>
    <n v="2"/>
    <x v="8"/>
    <x v="0"/>
    <s v="Small"/>
  </r>
  <r>
    <x v="0"/>
    <x v="2"/>
    <x v="0"/>
    <s v="Medium"/>
    <n v="1563"/>
    <s v="$3.00"/>
    <n v="20"/>
    <s v="$31,260.00"/>
    <s v="$1,563.00"/>
    <n v="29697"/>
    <s v="$15,630.00"/>
    <n v="14067"/>
    <d v="2014-05-01T00:00:00"/>
    <n v="5"/>
    <x v="11"/>
    <x v="0"/>
    <s v="Midium"/>
  </r>
  <r>
    <x v="4"/>
    <x v="4"/>
    <x v="0"/>
    <s v="Medium"/>
    <n v="991"/>
    <s v="$3.00"/>
    <n v="300"/>
    <s v="$2,97,300.00"/>
    <s v="$14,865.00"/>
    <s v="2,82,435.00"/>
    <s v="$2,47,750.00"/>
    <n v="34685"/>
    <d v="2014-06-01T00:00:00"/>
    <n v="6"/>
    <x v="1"/>
    <x v="0"/>
    <s v="Small"/>
  </r>
  <r>
    <x v="0"/>
    <x v="1"/>
    <x v="0"/>
    <s v="Medium"/>
    <n v="1016"/>
    <s v="$3.00"/>
    <n v="7"/>
    <s v="$7,112.00"/>
    <s v="$355.60"/>
    <n v="6756.4"/>
    <s v="$5,080.00"/>
    <n v="1676.4"/>
    <d v="2013-11-01T00:00:00"/>
    <n v="11"/>
    <x v="9"/>
    <x v="1"/>
    <s v="Small"/>
  </r>
  <r>
    <x v="1"/>
    <x v="3"/>
    <x v="0"/>
    <s v="Medium"/>
    <n v="2791"/>
    <s v="$3.00"/>
    <n v="15"/>
    <s v="$41,865.00"/>
    <s v="$2,093.25"/>
    <n v="39771.75"/>
    <s v="$27,910.00"/>
    <n v="11861.75"/>
    <d v="2014-11-01T00:00:00"/>
    <n v="11"/>
    <x v="9"/>
    <x v="0"/>
    <s v="Midium"/>
  </r>
  <r>
    <x v="0"/>
    <x v="4"/>
    <x v="0"/>
    <s v="Medium"/>
    <n v="570"/>
    <s v="$3.00"/>
    <n v="7"/>
    <s v="$3,990.00"/>
    <s v="$199.50"/>
    <n v="3790.5"/>
    <s v="$2,850.00"/>
    <n v="940.5"/>
    <d v="2014-12-01T00:00:00"/>
    <n v="12"/>
    <x v="2"/>
    <x v="0"/>
    <s v="Small"/>
  </r>
  <r>
    <x v="0"/>
    <x v="2"/>
    <x v="0"/>
    <s v="Medium"/>
    <n v="2487"/>
    <s v="$3.00"/>
    <n v="7"/>
    <s v="$17,409.00"/>
    <s v="$870.45"/>
    <n v="16538.55"/>
    <s v="$12,435.00"/>
    <n v="4103.55"/>
    <d v="2014-12-01T00:00:00"/>
    <n v="12"/>
    <x v="2"/>
    <x v="0"/>
    <s v="Midium"/>
  </r>
  <r>
    <x v="0"/>
    <x v="2"/>
    <x v="1"/>
    <s v="Medium"/>
    <n v="1384.5"/>
    <s v="$5.00"/>
    <n v="350"/>
    <s v="$4,84,575.00"/>
    <s v="$24,228.75"/>
    <s v="4,60,346.25"/>
    <s v="$3,59,970.00"/>
    <s v="1,00,376.25"/>
    <d v="2014-01-01T00:00:00"/>
    <n v="1"/>
    <x v="0"/>
    <x v="0"/>
    <s v="Small"/>
  </r>
  <r>
    <x v="3"/>
    <x v="4"/>
    <x v="1"/>
    <s v="Medium"/>
    <n v="3627"/>
    <s v="$5.00"/>
    <n v="125"/>
    <s v="$4,53,375.00"/>
    <s v="$22,668.75"/>
    <s v="4,30,706.25"/>
    <s v="$4,35,240.00"/>
    <n v="4533.75"/>
    <d v="2014-07-01T00:00:00"/>
    <n v="7"/>
    <x v="4"/>
    <x v="0"/>
    <s v="Large"/>
  </r>
  <r>
    <x v="0"/>
    <x v="3"/>
    <x v="1"/>
    <s v="Medium"/>
    <n v="720"/>
    <s v="$5.00"/>
    <n v="350"/>
    <s v="$2,52,000.00"/>
    <s v="$12,600.00"/>
    <s v="2,39,400.00"/>
    <s v="$1,87,200.00"/>
    <n v="52200"/>
    <d v="2013-09-01T00:00:00"/>
    <n v="9"/>
    <x v="6"/>
    <x v="1"/>
    <s v="Small"/>
  </r>
  <r>
    <x v="2"/>
    <x v="1"/>
    <x v="1"/>
    <s v="Medium"/>
    <n v="2342"/>
    <s v="$5.00"/>
    <n v="12"/>
    <s v="$28,104.00"/>
    <s v="$1,405.20"/>
    <n v="26698.799999999999"/>
    <s v="$7,026.00"/>
    <n v="19672.8"/>
    <d v="2014-11-01T00:00:00"/>
    <n v="11"/>
    <x v="9"/>
    <x v="0"/>
    <s v="Midium"/>
  </r>
  <r>
    <x v="4"/>
    <x v="3"/>
    <x v="1"/>
    <s v="Medium"/>
    <n v="1100"/>
    <s v="$5.00"/>
    <n v="300"/>
    <s v="$3,30,000.00"/>
    <s v="$16,500.00"/>
    <s v="3,13,500.00"/>
    <s v="$2,75,000.00"/>
    <n v="38500"/>
    <d v="2013-12-01T00:00:00"/>
    <n v="12"/>
    <x v="2"/>
    <x v="1"/>
    <s v="Small"/>
  </r>
  <r>
    <x v="0"/>
    <x v="2"/>
    <x v="2"/>
    <s v="Medium"/>
    <n v="1303"/>
    <s v="$10.00"/>
    <n v="20"/>
    <s v="$26,060.00"/>
    <s v="$1,303.00"/>
    <n v="24757"/>
    <s v="$13,030.00"/>
    <n v="11727"/>
    <d v="2014-02-01T00:00:00"/>
    <n v="2"/>
    <x v="8"/>
    <x v="0"/>
    <s v="Small"/>
  </r>
  <r>
    <x v="3"/>
    <x v="4"/>
    <x v="2"/>
    <s v="Medium"/>
    <n v="2992"/>
    <s v="$10.00"/>
    <n v="125"/>
    <s v="$3,74,000.00"/>
    <s v="$18,700.00"/>
    <s v="3,55,300.00"/>
    <s v="$3,59,040.00"/>
    <n v="3740"/>
    <d v="2014-03-01T00:00:00"/>
    <n v="3"/>
    <x v="3"/>
    <x v="0"/>
    <s v="Midium"/>
  </r>
  <r>
    <x v="3"/>
    <x v="2"/>
    <x v="2"/>
    <s v="Medium"/>
    <n v="2385"/>
    <s v="$10.00"/>
    <n v="125"/>
    <s v="$2,98,125.00"/>
    <s v="$14,906.25"/>
    <s v="2,83,218.75"/>
    <s v="$2,86,200.00"/>
    <n v="2981.25"/>
    <d v="2014-03-01T00:00:00"/>
    <n v="3"/>
    <x v="3"/>
    <x v="0"/>
    <s v="Midium"/>
  </r>
  <r>
    <x v="4"/>
    <x v="3"/>
    <x v="2"/>
    <s v="Medium"/>
    <n v="1607"/>
    <s v="$10.00"/>
    <n v="300"/>
    <s v="$4,82,100.00"/>
    <s v="$24,105.00"/>
    <s v="4,57,995.00"/>
    <s v="$4,01,750.00"/>
    <n v="56245"/>
    <d v="2014-04-01T00:00:00"/>
    <n v="4"/>
    <x v="10"/>
    <x v="0"/>
    <s v="Midium"/>
  </r>
  <r>
    <x v="0"/>
    <x v="4"/>
    <x v="2"/>
    <s v="Medium"/>
    <n v="2327"/>
    <s v="$10.00"/>
    <n v="7"/>
    <s v="$16,289.00"/>
    <s v="$814.45"/>
    <n v="15474.55"/>
    <s v="$11,635.00"/>
    <n v="3839.55"/>
    <d v="2014-05-01T00:00:00"/>
    <n v="5"/>
    <x v="11"/>
    <x v="0"/>
    <s v="Midium"/>
  </r>
  <r>
    <x v="4"/>
    <x v="4"/>
    <x v="2"/>
    <s v="Medium"/>
    <n v="991"/>
    <s v="$10.00"/>
    <n v="300"/>
    <s v="$2,97,300.00"/>
    <s v="$14,865.00"/>
    <s v="2,82,435.00"/>
    <s v="$2,47,750.00"/>
    <n v="34685"/>
    <d v="2014-06-01T00:00:00"/>
    <n v="6"/>
    <x v="1"/>
    <x v="0"/>
    <s v="Small"/>
  </r>
  <r>
    <x v="0"/>
    <x v="4"/>
    <x v="2"/>
    <s v="Medium"/>
    <n v="602"/>
    <s v="$10.00"/>
    <n v="350"/>
    <s v="$2,10,700.00"/>
    <s v="$10,535.00"/>
    <s v="2,00,165.00"/>
    <s v="$1,56,520.00"/>
    <n v="43645"/>
    <d v="2014-06-01T00:00:00"/>
    <n v="6"/>
    <x v="1"/>
    <x v="0"/>
    <s v="Small"/>
  </r>
  <r>
    <x v="1"/>
    <x v="2"/>
    <x v="2"/>
    <s v="Medium"/>
    <n v="2620"/>
    <s v="$10.00"/>
    <n v="15"/>
    <s v="$39,300.00"/>
    <s v="$1,965.00"/>
    <n v="37335"/>
    <s v="$26,200.00"/>
    <n v="11135"/>
    <d v="2014-09-01T00:00:00"/>
    <n v="9"/>
    <x v="6"/>
    <x v="0"/>
    <s v="Midium"/>
  </r>
  <r>
    <x v="0"/>
    <x v="0"/>
    <x v="2"/>
    <s v="Medium"/>
    <n v="1228"/>
    <s v="$10.00"/>
    <n v="350"/>
    <s v="$4,29,800.00"/>
    <s v="$21,490.00"/>
    <s v="4,08,310.00"/>
    <s v="$3,19,280.00"/>
    <n v="89030"/>
    <d v="2013-10-01T00:00:00"/>
    <n v="10"/>
    <x v="7"/>
    <x v="1"/>
    <s v="Small"/>
  </r>
  <r>
    <x v="0"/>
    <x v="0"/>
    <x v="2"/>
    <s v="Medium"/>
    <n v="1389"/>
    <s v="$10.00"/>
    <n v="20"/>
    <s v="$27,780.00"/>
    <s v="$1,389.00"/>
    <n v="26391"/>
    <s v="$13,890.00"/>
    <n v="12501"/>
    <d v="2013-10-01T00:00:00"/>
    <n v="10"/>
    <x v="7"/>
    <x v="1"/>
    <s v="Small"/>
  </r>
  <r>
    <x v="3"/>
    <x v="4"/>
    <x v="2"/>
    <s v="Medium"/>
    <n v="861"/>
    <s v="$10.00"/>
    <n v="125"/>
    <s v="$1,07,625.00"/>
    <s v="$5,381.25"/>
    <s v="1,02,243.75"/>
    <s v="$1,03,320.00"/>
    <n v="1076.25"/>
    <d v="2014-10-01T00:00:00"/>
    <n v="10"/>
    <x v="7"/>
    <x v="0"/>
    <s v="Small"/>
  </r>
  <r>
    <x v="3"/>
    <x v="2"/>
    <x v="2"/>
    <s v="Medium"/>
    <n v="704"/>
    <s v="$10.00"/>
    <n v="125"/>
    <s v="$88,000.00"/>
    <s v="$4,400.00"/>
    <n v="83600"/>
    <s v="$84,480.00"/>
    <n v="880"/>
    <d v="2013-10-01T00:00:00"/>
    <n v="10"/>
    <x v="7"/>
    <x v="1"/>
    <s v="Small"/>
  </r>
  <r>
    <x v="0"/>
    <x v="0"/>
    <x v="2"/>
    <s v="Medium"/>
    <n v="1802"/>
    <s v="$10.00"/>
    <n v="20"/>
    <s v="$36,040.00"/>
    <s v="$1,802.00"/>
    <n v="34238"/>
    <s v="$18,020.00"/>
    <n v="16218"/>
    <d v="2013-12-01T00:00:00"/>
    <n v="12"/>
    <x v="2"/>
    <x v="1"/>
    <s v="Midium"/>
  </r>
  <r>
    <x v="0"/>
    <x v="4"/>
    <x v="2"/>
    <s v="Medium"/>
    <n v="2663"/>
    <s v="$10.00"/>
    <n v="20"/>
    <s v="$53,260.00"/>
    <s v="$2,663.00"/>
    <n v="50597"/>
    <s v="$26,630.00"/>
    <n v="23967"/>
    <d v="2014-12-01T00:00:00"/>
    <n v="12"/>
    <x v="2"/>
    <x v="0"/>
    <s v="Midium"/>
  </r>
  <r>
    <x v="0"/>
    <x v="2"/>
    <x v="2"/>
    <s v="Medium"/>
    <n v="2136"/>
    <s v="$10.00"/>
    <n v="7"/>
    <s v="$14,952.00"/>
    <s v="$747.60"/>
    <n v="14204.4"/>
    <s v="$10,680.00"/>
    <n v="3524.4"/>
    <d v="2013-12-01T00:00:00"/>
    <n v="12"/>
    <x v="2"/>
    <x v="1"/>
    <s v="Midium"/>
  </r>
  <r>
    <x v="1"/>
    <x v="1"/>
    <x v="2"/>
    <s v="Medium"/>
    <n v="2116"/>
    <s v="$10.00"/>
    <n v="15"/>
    <s v="$31,740.00"/>
    <s v="$1,587.00"/>
    <n v="30153"/>
    <s v="$21,160.00"/>
    <n v="8993"/>
    <d v="2013-12-01T00:00:00"/>
    <n v="12"/>
    <x v="2"/>
    <x v="1"/>
    <s v="Midium"/>
  </r>
  <r>
    <x v="1"/>
    <x v="4"/>
    <x v="3"/>
    <s v="Medium"/>
    <n v="555"/>
    <s v="$120.00"/>
    <n v="15"/>
    <s v="$8,325.00"/>
    <s v="$416.25"/>
    <n v="7908.75"/>
    <s v="$5,550.00"/>
    <n v="2358.75"/>
    <d v="2014-01-01T00:00:00"/>
    <n v="1"/>
    <x v="0"/>
    <x v="0"/>
    <s v="Small"/>
  </r>
  <r>
    <x v="1"/>
    <x v="3"/>
    <x v="3"/>
    <s v="Medium"/>
    <n v="2861"/>
    <s v="$120.00"/>
    <n v="15"/>
    <s v="$42,915.00"/>
    <s v="$2,145.75"/>
    <n v="40769.25"/>
    <s v="$28,610.00"/>
    <n v="12159.25"/>
    <d v="2014-01-01T00:00:00"/>
    <n v="1"/>
    <x v="0"/>
    <x v="0"/>
    <s v="Midium"/>
  </r>
  <r>
    <x v="3"/>
    <x v="1"/>
    <x v="3"/>
    <s v="Medium"/>
    <n v="807"/>
    <s v="$120.00"/>
    <n v="125"/>
    <s v="$1,00,875.00"/>
    <s v="$5,043.75"/>
    <n v="95831.25"/>
    <s v="$96,840.00"/>
    <n v="1008.75"/>
    <d v="2014-02-01T00:00:00"/>
    <n v="2"/>
    <x v="8"/>
    <x v="0"/>
    <s v="Small"/>
  </r>
  <r>
    <x v="0"/>
    <x v="4"/>
    <x v="3"/>
    <s v="Medium"/>
    <n v="602"/>
    <s v="$120.00"/>
    <n v="350"/>
    <s v="$2,10,700.00"/>
    <s v="$10,535.00"/>
    <s v="2,00,165.00"/>
    <s v="$1,56,520.00"/>
    <n v="43645"/>
    <d v="2014-06-01T00:00:00"/>
    <n v="6"/>
    <x v="1"/>
    <x v="0"/>
    <s v="Small"/>
  </r>
  <r>
    <x v="0"/>
    <x v="4"/>
    <x v="3"/>
    <s v="Medium"/>
    <n v="2832"/>
    <s v="$120.00"/>
    <n v="20"/>
    <s v="$56,640.00"/>
    <s v="$2,832.00"/>
    <n v="53808"/>
    <s v="$28,320.00"/>
    <n v="25488"/>
    <d v="2014-08-01T00:00:00"/>
    <n v="8"/>
    <x v="5"/>
    <x v="0"/>
    <s v="Midium"/>
  </r>
  <r>
    <x v="0"/>
    <x v="2"/>
    <x v="3"/>
    <s v="Medium"/>
    <n v="1579"/>
    <s v="$120.00"/>
    <n v="20"/>
    <s v="$31,580.00"/>
    <s v="$1,579.00"/>
    <n v="30001"/>
    <s v="$15,790.00"/>
    <n v="14211"/>
    <d v="2014-08-01T00:00:00"/>
    <n v="8"/>
    <x v="5"/>
    <x v="0"/>
    <s v="Midium"/>
  </r>
  <r>
    <x v="3"/>
    <x v="4"/>
    <x v="3"/>
    <s v="Medium"/>
    <n v="861"/>
    <s v="$120.00"/>
    <n v="125"/>
    <s v="$1,07,625.00"/>
    <s v="$5,381.25"/>
    <s v="1,02,243.75"/>
    <s v="$1,03,320.00"/>
    <n v="1076.25"/>
    <d v="2014-10-01T00:00:00"/>
    <n v="10"/>
    <x v="7"/>
    <x v="0"/>
    <s v="Small"/>
  </r>
  <r>
    <x v="3"/>
    <x v="2"/>
    <x v="3"/>
    <s v="Medium"/>
    <n v="704"/>
    <s v="$120.00"/>
    <n v="125"/>
    <s v="$88,000.00"/>
    <s v="$4,400.00"/>
    <n v="83600"/>
    <s v="$84,480.00"/>
    <n v="880"/>
    <d v="2013-10-01T00:00:00"/>
    <n v="10"/>
    <x v="7"/>
    <x v="1"/>
    <s v="Small"/>
  </r>
  <r>
    <x v="0"/>
    <x v="2"/>
    <x v="3"/>
    <s v="Medium"/>
    <n v="1033"/>
    <s v="$120.00"/>
    <n v="20"/>
    <s v="$20,660.00"/>
    <s v="$1,033.00"/>
    <n v="19627"/>
    <s v="$10,330.00"/>
    <n v="9297"/>
    <d v="2013-12-01T00:00:00"/>
    <n v="12"/>
    <x v="2"/>
    <x v="1"/>
    <s v="Small"/>
  </r>
  <r>
    <x v="4"/>
    <x v="1"/>
    <x v="3"/>
    <s v="Medium"/>
    <n v="1250"/>
    <s v="$120.00"/>
    <n v="300"/>
    <s v="$3,75,000.00"/>
    <s v="$18,750.00"/>
    <s v="3,56,250.00"/>
    <s v="$3,12,500.00"/>
    <n v="43750"/>
    <d v="2014-12-01T00:00:00"/>
    <n v="12"/>
    <x v="2"/>
    <x v="0"/>
    <s v="Small"/>
  </r>
  <r>
    <x v="0"/>
    <x v="0"/>
    <x v="4"/>
    <s v="Medium"/>
    <n v="1389"/>
    <s v="$250.00"/>
    <n v="20"/>
    <s v="$27,780.00"/>
    <s v="$1,389.00"/>
    <n v="26391"/>
    <s v="$13,890.00"/>
    <n v="12501"/>
    <d v="2013-10-01T00:00:00"/>
    <n v="10"/>
    <x v="7"/>
    <x v="1"/>
    <s v="Small"/>
  </r>
  <r>
    <x v="0"/>
    <x v="4"/>
    <x v="4"/>
    <s v="Medium"/>
    <n v="1265"/>
    <s v="$250.00"/>
    <n v="20"/>
    <s v="$25,300.00"/>
    <s v="$1,265.00"/>
    <n v="24035"/>
    <s v="$12,650.00"/>
    <n v="11385"/>
    <d v="2013-11-01T00:00:00"/>
    <n v="11"/>
    <x v="9"/>
    <x v="1"/>
    <s v="Small"/>
  </r>
  <r>
    <x v="0"/>
    <x v="1"/>
    <x v="4"/>
    <s v="Medium"/>
    <n v="2297"/>
    <s v="$250.00"/>
    <n v="20"/>
    <s v="$45,940.00"/>
    <s v="$2,297.00"/>
    <n v="43643"/>
    <s v="$22,970.00"/>
    <n v="20673"/>
    <d v="2013-11-01T00:00:00"/>
    <n v="11"/>
    <x v="9"/>
    <x v="1"/>
    <s v="Midium"/>
  </r>
  <r>
    <x v="0"/>
    <x v="4"/>
    <x v="4"/>
    <s v="Medium"/>
    <n v="2663"/>
    <s v="$250.00"/>
    <n v="20"/>
    <s v="$53,260.00"/>
    <s v="$2,663.00"/>
    <n v="50597"/>
    <s v="$26,630.00"/>
    <n v="23967"/>
    <d v="2014-12-01T00:00:00"/>
    <n v="12"/>
    <x v="2"/>
    <x v="0"/>
    <s v="Midium"/>
  </r>
  <r>
    <x v="0"/>
    <x v="4"/>
    <x v="4"/>
    <s v="Medium"/>
    <n v="570"/>
    <s v="$250.00"/>
    <n v="7"/>
    <s v="$3,990.00"/>
    <s v="$199.50"/>
    <n v="3790.5"/>
    <s v="$2,850.00"/>
    <n v="940.5"/>
    <d v="2014-12-01T00:00:00"/>
    <n v="12"/>
    <x v="2"/>
    <x v="0"/>
    <s v="Small"/>
  </r>
  <r>
    <x v="0"/>
    <x v="2"/>
    <x v="4"/>
    <s v="Medium"/>
    <n v="2487"/>
    <s v="$250.00"/>
    <n v="7"/>
    <s v="$17,409.00"/>
    <s v="$870.45"/>
    <n v="16538.55"/>
    <s v="$12,435.00"/>
    <n v="4103.55"/>
    <d v="2014-12-01T00:00:00"/>
    <n v="12"/>
    <x v="2"/>
    <x v="0"/>
    <s v="Midium"/>
  </r>
  <r>
    <x v="0"/>
    <x v="1"/>
    <x v="5"/>
    <s v="Medium"/>
    <n v="1350"/>
    <s v="$260.00"/>
    <n v="350"/>
    <s v="$4,72,500.00"/>
    <s v="$23,625.00"/>
    <s v="4,48,875.00"/>
    <s v="$3,51,000.00"/>
    <n v="97875"/>
    <d v="2014-02-01T00:00:00"/>
    <n v="2"/>
    <x v="8"/>
    <x v="0"/>
    <s v="Small"/>
  </r>
  <r>
    <x v="0"/>
    <x v="0"/>
    <x v="5"/>
    <s v="Medium"/>
    <n v="552"/>
    <s v="$260.00"/>
    <n v="350"/>
    <s v="$1,93,200.00"/>
    <s v="$9,660.00"/>
    <s v="1,83,540.00"/>
    <s v="$1,43,520.00"/>
    <n v="40020"/>
    <d v="2014-08-01T00:00:00"/>
    <n v="8"/>
    <x v="5"/>
    <x v="0"/>
    <s v="Small"/>
  </r>
  <r>
    <x v="0"/>
    <x v="0"/>
    <x v="5"/>
    <s v="Medium"/>
    <n v="1228"/>
    <s v="$260.00"/>
    <n v="350"/>
    <s v="$4,29,800.00"/>
    <s v="$21,490.00"/>
    <s v="4,08,310.00"/>
    <s v="$3,19,280.00"/>
    <n v="89030"/>
    <d v="2013-10-01T00:00:00"/>
    <n v="10"/>
    <x v="7"/>
    <x v="1"/>
    <s v="Small"/>
  </r>
  <r>
    <x v="4"/>
    <x v="1"/>
    <x v="5"/>
    <s v="Medium"/>
    <n v="1250"/>
    <s v="$260.00"/>
    <n v="300"/>
    <s v="$3,75,000.00"/>
    <s v="$18,750.00"/>
    <s v="3,56,250.00"/>
    <s v="$3,12,500.00"/>
    <n v="43750"/>
    <d v="2014-12-01T00:00:00"/>
    <n v="12"/>
    <x v="2"/>
    <x v="0"/>
    <s v="Small"/>
  </r>
  <r>
    <x v="1"/>
    <x v="2"/>
    <x v="2"/>
    <s v="Medium"/>
    <n v="3801"/>
    <s v="$10.00"/>
    <n v="15"/>
    <s v="$57,015.00"/>
    <s v="$3,420.90"/>
    <n v="53594.1"/>
    <s v="$38,010.00"/>
    <n v="15584.1"/>
    <d v="2014-04-01T00:00:00"/>
    <n v="4"/>
    <x v="10"/>
    <x v="0"/>
    <s v="Large"/>
  </r>
  <r>
    <x v="0"/>
    <x v="4"/>
    <x v="0"/>
    <s v="Medium"/>
    <n v="1117.5"/>
    <s v="$3.00"/>
    <n v="20"/>
    <s v="$22,350.00"/>
    <s v="$1,341.00"/>
    <n v="21009"/>
    <s v="$11,175.00"/>
    <n v="9834"/>
    <d v="2014-01-01T00:00:00"/>
    <n v="1"/>
    <x v="0"/>
    <x v="0"/>
    <s v="Small"/>
  </r>
  <r>
    <x v="1"/>
    <x v="0"/>
    <x v="0"/>
    <s v="Medium"/>
    <n v="2844"/>
    <s v="$3.00"/>
    <n v="15"/>
    <s v="$42,660.00"/>
    <s v="$2,559.60"/>
    <n v="40100.400000000001"/>
    <s v="$28,440.00"/>
    <n v="11660.4"/>
    <d v="2014-06-01T00:00:00"/>
    <n v="6"/>
    <x v="1"/>
    <x v="0"/>
    <s v="Midium"/>
  </r>
  <r>
    <x v="2"/>
    <x v="3"/>
    <x v="0"/>
    <s v="Medium"/>
    <n v="562"/>
    <s v="$3.00"/>
    <n v="12"/>
    <s v="$6,744.00"/>
    <s v="$404.64"/>
    <n v="6339.36"/>
    <s v="$1,686.00"/>
    <n v="4653.3599999999997"/>
    <d v="2014-09-01T00:00:00"/>
    <n v="9"/>
    <x v="6"/>
    <x v="0"/>
    <s v="Small"/>
  </r>
  <r>
    <x v="2"/>
    <x v="0"/>
    <x v="0"/>
    <s v="Medium"/>
    <n v="2299"/>
    <s v="$3.00"/>
    <n v="12"/>
    <s v="$27,588.00"/>
    <s v="$1,655.28"/>
    <n v="25932.720000000001"/>
    <s v="$6,897.00"/>
    <n v="19035.72"/>
    <d v="2013-10-01T00:00:00"/>
    <n v="10"/>
    <x v="7"/>
    <x v="1"/>
    <s v="Midium"/>
  </r>
  <r>
    <x v="1"/>
    <x v="4"/>
    <x v="0"/>
    <s v="Medium"/>
    <n v="2030"/>
    <s v="$3.00"/>
    <n v="15"/>
    <s v="$30,450.00"/>
    <s v="$1,827.00"/>
    <n v="28623"/>
    <s v="$20,300.00"/>
    <n v="8323"/>
    <d v="2014-11-01T00:00:00"/>
    <n v="11"/>
    <x v="9"/>
    <x v="0"/>
    <s v="Midium"/>
  </r>
  <r>
    <x v="0"/>
    <x v="4"/>
    <x v="0"/>
    <s v="Medium"/>
    <n v="263"/>
    <s v="$3.00"/>
    <n v="7"/>
    <s v="$1,841.00"/>
    <s v="$110.46"/>
    <n v="1730.54"/>
    <s v="$1,315.00"/>
    <n v="415.54"/>
    <d v="2013-11-01T00:00:00"/>
    <n v="11"/>
    <x v="9"/>
    <x v="1"/>
    <s v="Small"/>
  </r>
  <r>
    <x v="3"/>
    <x v="1"/>
    <x v="0"/>
    <s v="Medium"/>
    <n v="887"/>
    <s v="$3.00"/>
    <n v="125"/>
    <s v="$1,10,875.00"/>
    <s v="$6,652.50"/>
    <s v="1,04,222.50"/>
    <s v="$1,06,440.00"/>
    <n v="2217.5"/>
    <d v="2013-12-01T00:00:00"/>
    <n v="12"/>
    <x v="2"/>
    <x v="1"/>
    <s v="Small"/>
  </r>
  <r>
    <x v="0"/>
    <x v="3"/>
    <x v="1"/>
    <s v="Medium"/>
    <n v="980"/>
    <s v="$5.00"/>
    <n v="350"/>
    <s v="$3,43,000.00"/>
    <s v="$20,580.00"/>
    <s v="3,22,420.00"/>
    <s v="$2,54,800.00"/>
    <n v="67620"/>
    <d v="2014-04-01T00:00:00"/>
    <n v="4"/>
    <x v="10"/>
    <x v="0"/>
    <s v="Small"/>
  </r>
  <r>
    <x v="0"/>
    <x v="1"/>
    <x v="1"/>
    <s v="Medium"/>
    <n v="1460"/>
    <s v="$5.00"/>
    <n v="350"/>
    <s v="$5,11,000.00"/>
    <s v="$30,660.00"/>
    <s v="4,80,340.00"/>
    <s v="$3,79,600.00"/>
    <s v="1,00,740.00"/>
    <d v="2014-05-01T00:00:00"/>
    <n v="5"/>
    <x v="11"/>
    <x v="0"/>
    <s v="Small"/>
  </r>
  <r>
    <x v="0"/>
    <x v="2"/>
    <x v="1"/>
    <s v="Medium"/>
    <n v="1403"/>
    <s v="$5.00"/>
    <n v="7"/>
    <s v="$9,821.00"/>
    <s v="$589.26"/>
    <n v="9231.74"/>
    <s v="$7,015.00"/>
    <n v="2216.7399999999998"/>
    <d v="2013-10-01T00:00:00"/>
    <n v="10"/>
    <x v="7"/>
    <x v="1"/>
    <s v="Small"/>
  </r>
  <r>
    <x v="2"/>
    <x v="4"/>
    <x v="1"/>
    <s v="Medium"/>
    <n v="2723"/>
    <s v="$5.00"/>
    <n v="12"/>
    <s v="$32,676.00"/>
    <s v="$1,960.56"/>
    <n v="30715.439999999999"/>
    <s v="$8,169.00"/>
    <n v="22546.44"/>
    <d v="2014-11-01T00:00:00"/>
    <n v="11"/>
    <x v="9"/>
    <x v="0"/>
    <s v="Midium"/>
  </r>
  <r>
    <x v="0"/>
    <x v="2"/>
    <x v="2"/>
    <s v="Medium"/>
    <n v="1496"/>
    <s v="$10.00"/>
    <n v="350"/>
    <s v="$5,23,600.00"/>
    <s v="$31,416.00"/>
    <s v="4,92,184.00"/>
    <s v="$3,88,960.00"/>
    <s v="1,03,224.00"/>
    <d v="2014-06-01T00:00:00"/>
    <n v="6"/>
    <x v="1"/>
    <x v="0"/>
    <s v="Small"/>
  </r>
  <r>
    <x v="2"/>
    <x v="0"/>
    <x v="2"/>
    <s v="Medium"/>
    <n v="2299"/>
    <s v="$10.00"/>
    <n v="12"/>
    <s v="$27,588.00"/>
    <s v="$1,655.28"/>
    <n v="25932.720000000001"/>
    <s v="$6,897.00"/>
    <n v="19035.72"/>
    <d v="2013-10-01T00:00:00"/>
    <n v="10"/>
    <x v="7"/>
    <x v="1"/>
    <s v="Midium"/>
  </r>
  <r>
    <x v="0"/>
    <x v="4"/>
    <x v="2"/>
    <s v="Medium"/>
    <n v="727"/>
    <s v="$10.00"/>
    <n v="350"/>
    <s v="$2,54,450.00"/>
    <s v="$15,267.00"/>
    <s v="2,39,183.00"/>
    <s v="$1,89,020.00"/>
    <n v="50163"/>
    <d v="2013-10-01T00:00:00"/>
    <n v="10"/>
    <x v="7"/>
    <x v="1"/>
    <s v="Small"/>
  </r>
  <r>
    <x v="3"/>
    <x v="0"/>
    <x v="3"/>
    <s v="Medium"/>
    <n v="952"/>
    <s v="$120.00"/>
    <n v="125"/>
    <s v="$1,19,000.00"/>
    <s v="$7,140.00"/>
    <s v="1,11,860.00"/>
    <s v="$1,14,240.00"/>
    <n v="2380"/>
    <d v="2014-02-01T00:00:00"/>
    <n v="2"/>
    <x v="8"/>
    <x v="0"/>
    <s v="Small"/>
  </r>
  <r>
    <x v="3"/>
    <x v="4"/>
    <x v="3"/>
    <s v="Medium"/>
    <n v="2755"/>
    <s v="$120.00"/>
    <n v="125"/>
    <s v="$3,44,375.00"/>
    <s v="$20,662.50"/>
    <s v="3,23,712.50"/>
    <s v="$3,30,600.00"/>
    <n v="6887.5"/>
    <d v="2014-02-01T00:00:00"/>
    <n v="2"/>
    <x v="8"/>
    <x v="0"/>
    <s v="Midium"/>
  </r>
  <r>
    <x v="1"/>
    <x v="1"/>
    <x v="3"/>
    <s v="Medium"/>
    <n v="1530"/>
    <s v="$120.00"/>
    <n v="15"/>
    <s v="$22,950.00"/>
    <s v="$1,377.00"/>
    <n v="21573"/>
    <s v="$15,300.00"/>
    <n v="6273"/>
    <d v="2014-05-01T00:00:00"/>
    <n v="5"/>
    <x v="11"/>
    <x v="0"/>
    <s v="Midium"/>
  </r>
  <r>
    <x v="0"/>
    <x v="2"/>
    <x v="3"/>
    <s v="Medium"/>
    <n v="1496"/>
    <s v="$120.00"/>
    <n v="350"/>
    <s v="$5,23,600.00"/>
    <s v="$31,416.00"/>
    <s v="4,92,184.00"/>
    <s v="$3,88,960.00"/>
    <s v="1,03,224.00"/>
    <d v="2014-06-01T00:00:00"/>
    <n v="6"/>
    <x v="1"/>
    <x v="0"/>
    <s v="Small"/>
  </r>
  <r>
    <x v="0"/>
    <x v="3"/>
    <x v="3"/>
    <s v="Medium"/>
    <n v="1498"/>
    <s v="$120.00"/>
    <n v="7"/>
    <s v="$10,486.00"/>
    <s v="$629.16"/>
    <n v="9856.84"/>
    <s v="$7,490.00"/>
    <n v="2366.84"/>
    <d v="2014-06-01T00:00:00"/>
    <n v="6"/>
    <x v="1"/>
    <x v="0"/>
    <s v="Small"/>
  </r>
  <r>
    <x v="4"/>
    <x v="2"/>
    <x v="3"/>
    <s v="Medium"/>
    <n v="1221"/>
    <s v="$120.00"/>
    <n v="300"/>
    <s v="$3,66,300.00"/>
    <s v="$21,978.00"/>
    <s v="3,44,322.00"/>
    <s v="$3,05,250.00"/>
    <n v="39072"/>
    <d v="2013-10-01T00:00:00"/>
    <n v="10"/>
    <x v="7"/>
    <x v="1"/>
    <s v="Small"/>
  </r>
  <r>
    <x v="0"/>
    <x v="2"/>
    <x v="3"/>
    <s v="Medium"/>
    <n v="2076"/>
    <s v="$120.00"/>
    <n v="350"/>
    <s v="$7,26,600.00"/>
    <s v="$43,596.00"/>
    <s v="6,83,004.00"/>
    <s v="$5,39,760.00"/>
    <s v="1,43,244.00"/>
    <d v="2013-10-01T00:00:00"/>
    <n v="10"/>
    <x v="7"/>
    <x v="1"/>
    <s v="Midium"/>
  </r>
  <r>
    <x v="1"/>
    <x v="0"/>
    <x v="4"/>
    <s v="Medium"/>
    <n v="2844"/>
    <s v="$250.00"/>
    <n v="15"/>
    <s v="$42,660.00"/>
    <s v="$2,559.60"/>
    <n v="40100.400000000001"/>
    <s v="$28,440.00"/>
    <n v="11660.4"/>
    <d v="2014-06-01T00:00:00"/>
    <n v="6"/>
    <x v="1"/>
    <x v="0"/>
    <s v="Midium"/>
  </r>
  <r>
    <x v="0"/>
    <x v="3"/>
    <x v="4"/>
    <s v="Medium"/>
    <n v="1498"/>
    <s v="$250.00"/>
    <n v="7"/>
    <s v="$10,486.00"/>
    <s v="$629.16"/>
    <n v="9856.84"/>
    <s v="$7,490.00"/>
    <n v="2366.84"/>
    <d v="2014-06-01T00:00:00"/>
    <n v="6"/>
    <x v="1"/>
    <x v="0"/>
    <s v="Small"/>
  </r>
  <r>
    <x v="4"/>
    <x v="2"/>
    <x v="4"/>
    <s v="Medium"/>
    <n v="1221"/>
    <s v="$250.00"/>
    <n v="300"/>
    <s v="$3,66,300.00"/>
    <s v="$21,978.00"/>
    <s v="3,44,322.00"/>
    <s v="$3,05,250.00"/>
    <n v="39072"/>
    <d v="2013-10-01T00:00:00"/>
    <n v="10"/>
    <x v="7"/>
    <x v="1"/>
    <s v="Small"/>
  </r>
  <r>
    <x v="0"/>
    <x v="3"/>
    <x v="4"/>
    <s v="Medium"/>
    <n v="1123"/>
    <s v="$250.00"/>
    <n v="20"/>
    <s v="$22,460.00"/>
    <s v="$1,347.60"/>
    <n v="21112.400000000001"/>
    <s v="$11,230.00"/>
    <n v="9882.4"/>
    <d v="2013-11-01T00:00:00"/>
    <n v="11"/>
    <x v="9"/>
    <x v="1"/>
    <s v="Small"/>
  </r>
  <r>
    <x v="4"/>
    <x v="0"/>
    <x v="4"/>
    <s v="Medium"/>
    <n v="2436"/>
    <s v="$250.00"/>
    <n v="300"/>
    <s v="$7,30,800.00"/>
    <s v="$43,848.00"/>
    <s v="6,86,952.00"/>
    <s v="$6,09,000.00"/>
    <n v="77952"/>
    <d v="2013-12-01T00:00:00"/>
    <n v="12"/>
    <x v="2"/>
    <x v="1"/>
    <s v="Midium"/>
  </r>
  <r>
    <x v="3"/>
    <x v="2"/>
    <x v="5"/>
    <s v="Medium"/>
    <n v="1987.5"/>
    <s v="$260.00"/>
    <n v="125"/>
    <s v="$2,48,437.50"/>
    <s v="$14,906.25"/>
    <s v="2,33,531.25"/>
    <s v="$2,38,500.00"/>
    <n v="4968.75"/>
    <d v="2014-01-01T00:00:00"/>
    <n v="1"/>
    <x v="0"/>
    <x v="0"/>
    <s v="Midium"/>
  </r>
  <r>
    <x v="0"/>
    <x v="3"/>
    <x v="5"/>
    <s v="Medium"/>
    <n v="1679"/>
    <s v="$260.00"/>
    <n v="350"/>
    <s v="$5,87,650.00"/>
    <s v="$35,259.00"/>
    <s v="5,52,391.00"/>
    <s v="$4,36,540.00"/>
    <s v="1,15,851.00"/>
    <d v="2014-09-01T00:00:00"/>
    <n v="9"/>
    <x v="6"/>
    <x v="0"/>
    <s v="Midium"/>
  </r>
  <r>
    <x v="0"/>
    <x v="4"/>
    <x v="5"/>
    <s v="Medium"/>
    <n v="727"/>
    <s v="$260.00"/>
    <n v="350"/>
    <s v="$2,54,450.00"/>
    <s v="$15,267.00"/>
    <s v="2,39,183.00"/>
    <s v="$1,89,020.00"/>
    <n v="50163"/>
    <d v="2013-10-01T00:00:00"/>
    <n v="10"/>
    <x v="7"/>
    <x v="1"/>
    <s v="Small"/>
  </r>
  <r>
    <x v="0"/>
    <x v="2"/>
    <x v="5"/>
    <s v="Medium"/>
    <n v="1403"/>
    <s v="$260.00"/>
    <n v="7"/>
    <s v="$9,821.00"/>
    <s v="$589.26"/>
    <n v="9231.74"/>
    <s v="$7,015.00"/>
    <n v="2216.7399999999998"/>
    <d v="2013-10-01T00:00:00"/>
    <n v="10"/>
    <x v="7"/>
    <x v="1"/>
    <s v="Small"/>
  </r>
  <r>
    <x v="0"/>
    <x v="2"/>
    <x v="5"/>
    <s v="Medium"/>
    <n v="2076"/>
    <s v="$260.00"/>
    <n v="350"/>
    <s v="$7,26,600.00"/>
    <s v="$43,596.00"/>
    <s v="6,83,004.00"/>
    <s v="$5,39,760.00"/>
    <s v="1,43,244.00"/>
    <d v="2013-10-01T00:00:00"/>
    <n v="10"/>
    <x v="7"/>
    <x v="1"/>
    <s v="Midium"/>
  </r>
  <r>
    <x v="0"/>
    <x v="2"/>
    <x v="1"/>
    <s v="Medium"/>
    <n v="1757"/>
    <s v="$5.00"/>
    <n v="20"/>
    <s v="$35,140.00"/>
    <s v="$2,108.40"/>
    <n v="33031.599999999999"/>
    <s v="$17,570.00"/>
    <n v="15461.6"/>
    <d v="2013-10-01T00:00:00"/>
    <n v="10"/>
    <x v="7"/>
    <x v="1"/>
    <s v="Midium"/>
  </r>
  <r>
    <x v="1"/>
    <x v="4"/>
    <x v="2"/>
    <s v="Medium"/>
    <n v="2198"/>
    <s v="$10.00"/>
    <n v="15"/>
    <s v="$32,970.00"/>
    <s v="$1,978.20"/>
    <n v="30991.8"/>
    <s v="$21,980.00"/>
    <n v="9011.7999999999993"/>
    <d v="2014-08-01T00:00:00"/>
    <n v="8"/>
    <x v="5"/>
    <x v="0"/>
    <s v="Midium"/>
  </r>
  <r>
    <x v="1"/>
    <x v="1"/>
    <x v="2"/>
    <s v="Medium"/>
    <n v="1743"/>
    <s v="$10.00"/>
    <n v="15"/>
    <s v="$26,145.00"/>
    <s v="$1,568.70"/>
    <n v="24576.3"/>
    <s v="$17,430.00"/>
    <n v="7146.3"/>
    <d v="2014-08-01T00:00:00"/>
    <n v="8"/>
    <x v="5"/>
    <x v="0"/>
    <s v="Midium"/>
  </r>
  <r>
    <x v="1"/>
    <x v="4"/>
    <x v="2"/>
    <s v="Medium"/>
    <n v="1153"/>
    <s v="$10.00"/>
    <n v="15"/>
    <s v="$17,295.00"/>
    <s v="$1,037.70"/>
    <n v="16257.3"/>
    <s v="$11,530.00"/>
    <n v="4727.3"/>
    <d v="2014-10-01T00:00:00"/>
    <n v="10"/>
    <x v="7"/>
    <x v="0"/>
    <s v="Small"/>
  </r>
  <r>
    <x v="0"/>
    <x v="2"/>
    <x v="2"/>
    <s v="Medium"/>
    <n v="1757"/>
    <s v="$10.00"/>
    <n v="20"/>
    <s v="$35,140.00"/>
    <s v="$2,108.40"/>
    <n v="33031.599999999999"/>
    <s v="$17,570.00"/>
    <n v="15461.6"/>
    <d v="2013-10-01T00:00:00"/>
    <n v="10"/>
    <x v="7"/>
    <x v="1"/>
    <s v="Midium"/>
  </r>
  <r>
    <x v="0"/>
    <x v="1"/>
    <x v="3"/>
    <s v="Medium"/>
    <n v="1001"/>
    <s v="$120.00"/>
    <n v="20"/>
    <s v="$20,020.00"/>
    <s v="$1,201.20"/>
    <n v="18818.8"/>
    <s v="$10,010.00"/>
    <n v="8808.7999999999993"/>
    <d v="2014-08-01T00:00:00"/>
    <n v="8"/>
    <x v="5"/>
    <x v="0"/>
    <s v="Small"/>
  </r>
  <r>
    <x v="0"/>
    <x v="3"/>
    <x v="3"/>
    <s v="Medium"/>
    <n v="1333"/>
    <s v="$120.00"/>
    <n v="7"/>
    <s v="$9,331.00"/>
    <s v="$559.86"/>
    <n v="8771.14"/>
    <s v="$6,665.00"/>
    <n v="2106.14"/>
    <d v="2014-11-01T00:00:00"/>
    <n v="11"/>
    <x v="9"/>
    <x v="0"/>
    <s v="Small"/>
  </r>
  <r>
    <x v="1"/>
    <x v="4"/>
    <x v="4"/>
    <s v="Medium"/>
    <n v="1153"/>
    <s v="$250.00"/>
    <n v="15"/>
    <s v="$17,295.00"/>
    <s v="$1,037.70"/>
    <n v="16257.3"/>
    <s v="$11,530.00"/>
    <n v="4727.3"/>
    <d v="2014-10-01T00:00:00"/>
    <n v="10"/>
    <x v="7"/>
    <x v="0"/>
    <s v="Small"/>
  </r>
  <r>
    <x v="2"/>
    <x v="3"/>
    <x v="0"/>
    <s v="Medium"/>
    <n v="727"/>
    <s v="$3.00"/>
    <n v="12"/>
    <s v="$8,724.00"/>
    <s v="$610.68"/>
    <n v="8113.32"/>
    <s v="$2,181.00"/>
    <n v="5932.32"/>
    <d v="2014-02-01T00:00:00"/>
    <n v="2"/>
    <x v="8"/>
    <x v="0"/>
    <s v="Small"/>
  </r>
  <r>
    <x v="2"/>
    <x v="0"/>
    <x v="0"/>
    <s v="Medium"/>
    <n v="1884"/>
    <s v="$3.00"/>
    <n v="12"/>
    <s v="$22,608.00"/>
    <s v="$1,582.56"/>
    <n v="21025.439999999999"/>
    <s v="$5,652.00"/>
    <n v="15373.44"/>
    <d v="2014-08-01T00:00:00"/>
    <n v="8"/>
    <x v="5"/>
    <x v="0"/>
    <s v="Midium"/>
  </r>
  <r>
    <x v="0"/>
    <x v="3"/>
    <x v="0"/>
    <s v="Medium"/>
    <n v="1834"/>
    <s v="$3.00"/>
    <n v="20"/>
    <s v="$36,680.00"/>
    <s v="$2,567.60"/>
    <n v="34112.400000000001"/>
    <s v="$18,340.00"/>
    <n v="15772.4"/>
    <d v="2013-09-01T00:00:00"/>
    <n v="9"/>
    <x v="6"/>
    <x v="1"/>
    <s v="Midium"/>
  </r>
  <r>
    <x v="2"/>
    <x v="3"/>
    <x v="1"/>
    <s v="Medium"/>
    <n v="2340"/>
    <s v="$5.00"/>
    <n v="12"/>
    <s v="$28,080.00"/>
    <s v="$1,965.60"/>
    <n v="26114.400000000001"/>
    <s v="$7,020.00"/>
    <n v="19094.400000000001"/>
    <d v="2014-01-01T00:00:00"/>
    <n v="1"/>
    <x v="0"/>
    <x v="0"/>
    <s v="Midium"/>
  </r>
  <r>
    <x v="2"/>
    <x v="2"/>
    <x v="1"/>
    <s v="Medium"/>
    <n v="2342"/>
    <s v="$5.00"/>
    <n v="12"/>
    <s v="$28,104.00"/>
    <s v="$1,967.28"/>
    <n v="26136.720000000001"/>
    <s v="$7,026.00"/>
    <n v="19110.72"/>
    <d v="2014-11-01T00:00:00"/>
    <n v="11"/>
    <x v="9"/>
    <x v="0"/>
    <s v="Midium"/>
  </r>
  <r>
    <x v="0"/>
    <x v="2"/>
    <x v="2"/>
    <s v="Medium"/>
    <n v="1031"/>
    <s v="$10.00"/>
    <n v="7"/>
    <s v="$7,217.00"/>
    <s v="$505.19"/>
    <n v="6711.81"/>
    <s v="$5,155.00"/>
    <n v="1556.81"/>
    <d v="2013-09-01T00:00:00"/>
    <n v="9"/>
    <x v="6"/>
    <x v="1"/>
    <s v="Small"/>
  </r>
  <r>
    <x v="1"/>
    <x v="0"/>
    <x v="3"/>
    <s v="Medium"/>
    <n v="1262"/>
    <s v="$120.00"/>
    <n v="15"/>
    <s v="$18,930.00"/>
    <s v="$1,325.10"/>
    <n v="17604.900000000001"/>
    <s v="$12,620.00"/>
    <n v="4984.8999999999996"/>
    <d v="2014-05-01T00:00:00"/>
    <n v="5"/>
    <x v="11"/>
    <x v="0"/>
    <s v="Small"/>
  </r>
  <r>
    <x v="0"/>
    <x v="0"/>
    <x v="3"/>
    <s v="Medium"/>
    <n v="1135"/>
    <s v="$120.00"/>
    <n v="7"/>
    <s v="$7,945.00"/>
    <s v="$556.15"/>
    <n v="7388.85"/>
    <s v="$5,675.00"/>
    <n v="1713.85"/>
    <d v="2014-06-01T00:00:00"/>
    <n v="6"/>
    <x v="1"/>
    <x v="0"/>
    <s v="Small"/>
  </r>
  <r>
    <x v="0"/>
    <x v="4"/>
    <x v="3"/>
    <s v="Medium"/>
    <n v="547"/>
    <s v="$120.00"/>
    <n v="7"/>
    <s v="$3,829.00"/>
    <s v="$268.03"/>
    <n v="3560.97"/>
    <s v="$2,735.00"/>
    <n v="825.97"/>
    <d v="2014-11-01T00:00:00"/>
    <n v="11"/>
    <x v="9"/>
    <x v="0"/>
    <s v="Small"/>
  </r>
  <r>
    <x v="0"/>
    <x v="0"/>
    <x v="3"/>
    <s v="Medium"/>
    <n v="1582"/>
    <s v="$120.00"/>
    <n v="7"/>
    <s v="$11,074.00"/>
    <s v="$775.18"/>
    <n v="10298.82"/>
    <s v="$7,910.00"/>
    <n v="2388.8200000000002"/>
    <d v="2014-12-01T00:00:00"/>
    <n v="12"/>
    <x v="2"/>
    <x v="0"/>
    <s v="Midium"/>
  </r>
  <r>
    <x v="2"/>
    <x v="2"/>
    <x v="4"/>
    <s v="Medium"/>
    <n v="1738.5"/>
    <s v="$250.00"/>
    <n v="12"/>
    <s v="$20,862.00"/>
    <s v="$1,460.34"/>
    <n v="19401.66"/>
    <s v="$5,215.50"/>
    <n v="14186.16"/>
    <d v="2014-04-01T00:00:00"/>
    <n v="4"/>
    <x v="10"/>
    <x v="0"/>
    <s v="Midium"/>
  </r>
  <r>
    <x v="2"/>
    <x v="1"/>
    <x v="4"/>
    <s v="Medium"/>
    <n v="2215"/>
    <s v="$250.00"/>
    <n v="12"/>
    <s v="$26,580.00"/>
    <s v="$1,860.60"/>
    <n v="24719.4"/>
    <s v="$6,645.00"/>
    <n v="18074.400000000001"/>
    <d v="2013-09-01T00:00:00"/>
    <n v="9"/>
    <x v="6"/>
    <x v="1"/>
    <s v="Midium"/>
  </r>
  <r>
    <x v="0"/>
    <x v="0"/>
    <x v="4"/>
    <s v="Medium"/>
    <n v="1582"/>
    <s v="$250.00"/>
    <n v="7"/>
    <s v="$11,074.00"/>
    <s v="$775.18"/>
    <n v="10298.82"/>
    <s v="$7,910.00"/>
    <n v="2388.8200000000002"/>
    <d v="2014-12-01T00:00:00"/>
    <n v="12"/>
    <x v="2"/>
    <x v="0"/>
    <s v="Midium"/>
  </r>
  <r>
    <x v="0"/>
    <x v="0"/>
    <x v="5"/>
    <s v="Medium"/>
    <n v="1135"/>
    <s v="$260.00"/>
    <n v="7"/>
    <s v="$7,945.00"/>
    <s v="$556.15"/>
    <n v="7388.85"/>
    <s v="$5,675.00"/>
    <n v="1713.85"/>
    <d v="2014-06-01T00:00:00"/>
    <n v="6"/>
    <x v="1"/>
    <x v="0"/>
    <s v="Small"/>
  </r>
  <r>
    <x v="0"/>
    <x v="4"/>
    <x v="0"/>
    <s v="Medium"/>
    <n v="1761"/>
    <s v="$3.00"/>
    <n v="350"/>
    <s v="$6,16,350.00"/>
    <s v="$43,144.50"/>
    <s v="5,73,205.50"/>
    <s v="$4,57,860.00"/>
    <s v="1,15,345.50"/>
    <d v="2014-03-01T00:00:00"/>
    <n v="3"/>
    <x v="3"/>
    <x v="0"/>
    <s v="Midium"/>
  </r>
  <r>
    <x v="4"/>
    <x v="2"/>
    <x v="0"/>
    <s v="Medium"/>
    <n v="448"/>
    <s v="$3.00"/>
    <n v="300"/>
    <s v="$1,34,400.00"/>
    <s v="$9,408.00"/>
    <s v="1,24,992.00"/>
    <s v="$1,12,000.00"/>
    <n v="12992"/>
    <d v="2014-06-01T00:00:00"/>
    <n v="6"/>
    <x v="1"/>
    <x v="0"/>
    <s v="Small"/>
  </r>
  <r>
    <x v="4"/>
    <x v="2"/>
    <x v="0"/>
    <s v="Medium"/>
    <n v="2181"/>
    <s v="$3.00"/>
    <n v="300"/>
    <s v="$6,54,300.00"/>
    <s v="$45,801.00"/>
    <s v="6,08,499.00"/>
    <s v="$5,45,250.00"/>
    <n v="63249"/>
    <d v="2014-10-01T00:00:00"/>
    <n v="10"/>
    <x v="7"/>
    <x v="0"/>
    <s v="Midium"/>
  </r>
  <r>
    <x v="0"/>
    <x v="2"/>
    <x v="1"/>
    <s v="Medium"/>
    <n v="1976"/>
    <s v="$5.00"/>
    <n v="20"/>
    <s v="$39,520.00"/>
    <s v="$2,766.40"/>
    <n v="36753.599999999999"/>
    <s v="$19,760.00"/>
    <n v="16993.599999999999"/>
    <d v="2014-10-01T00:00:00"/>
    <n v="10"/>
    <x v="7"/>
    <x v="0"/>
    <s v="Midium"/>
  </r>
  <r>
    <x v="4"/>
    <x v="2"/>
    <x v="1"/>
    <s v="Medium"/>
    <n v="2181"/>
    <s v="$5.00"/>
    <n v="300"/>
    <s v="$6,54,300.00"/>
    <s v="$45,801.00"/>
    <s v="6,08,499.00"/>
    <s v="$5,45,250.00"/>
    <n v="63249"/>
    <d v="2014-10-01T00:00:00"/>
    <n v="10"/>
    <x v="7"/>
    <x v="0"/>
    <s v="Midium"/>
  </r>
  <r>
    <x v="3"/>
    <x v="1"/>
    <x v="1"/>
    <s v="Medium"/>
    <n v="2500"/>
    <s v="$5.00"/>
    <n v="125"/>
    <s v="$3,12,500.00"/>
    <s v="$21,875.00"/>
    <s v="2,90,625.00"/>
    <s v="$3,00,000.00"/>
    <n v="9375"/>
    <d v="2013-11-01T00:00:00"/>
    <n v="11"/>
    <x v="9"/>
    <x v="1"/>
    <s v="Midium"/>
  </r>
  <r>
    <x v="4"/>
    <x v="0"/>
    <x v="2"/>
    <s v="Medium"/>
    <n v="1702"/>
    <s v="$10.00"/>
    <n v="300"/>
    <s v="$5,10,600.00"/>
    <s v="$35,742.00"/>
    <s v="4,74,858.00"/>
    <s v="$4,25,500.00"/>
    <n v="49358"/>
    <d v="2014-05-01T00:00:00"/>
    <n v="5"/>
    <x v="11"/>
    <x v="0"/>
    <s v="Midium"/>
  </r>
  <r>
    <x v="4"/>
    <x v="2"/>
    <x v="2"/>
    <s v="Medium"/>
    <n v="448"/>
    <s v="$10.00"/>
    <n v="300"/>
    <s v="$1,34,400.00"/>
    <s v="$9,408.00"/>
    <s v="1,24,992.00"/>
    <s v="$1,12,000.00"/>
    <n v="12992"/>
    <d v="2014-06-01T00:00:00"/>
    <n v="6"/>
    <x v="1"/>
    <x v="0"/>
    <s v="Small"/>
  </r>
  <r>
    <x v="3"/>
    <x v="1"/>
    <x v="2"/>
    <s v="Medium"/>
    <n v="3513"/>
    <s v="$10.00"/>
    <n v="125"/>
    <s v="$4,39,125.00"/>
    <s v="$30,738.75"/>
    <s v="4,08,386.25"/>
    <s v="$4,21,560.00"/>
    <n v="13173.75"/>
    <d v="2014-07-01T00:00:00"/>
    <n v="7"/>
    <x v="4"/>
    <x v="0"/>
    <s v="Large"/>
  </r>
  <r>
    <x v="1"/>
    <x v="2"/>
    <x v="2"/>
    <s v="Medium"/>
    <n v="2101"/>
    <s v="$10.00"/>
    <n v="15"/>
    <s v="$31,515.00"/>
    <s v="$2,206.05"/>
    <n v="29308.95"/>
    <s v="$21,010.00"/>
    <n v="8298.9500000000007"/>
    <d v="2014-08-01T00:00:00"/>
    <n v="8"/>
    <x v="5"/>
    <x v="0"/>
    <s v="Midium"/>
  </r>
  <r>
    <x v="1"/>
    <x v="4"/>
    <x v="2"/>
    <s v="Medium"/>
    <n v="2931"/>
    <s v="$10.00"/>
    <n v="15"/>
    <s v="$43,965.00"/>
    <s v="$3,077.55"/>
    <n v="40887.449999999997"/>
    <s v="$29,310.00"/>
    <n v="11577.45"/>
    <d v="2013-09-01T00:00:00"/>
    <n v="9"/>
    <x v="6"/>
    <x v="1"/>
    <s v="Midium"/>
  </r>
  <r>
    <x v="0"/>
    <x v="2"/>
    <x v="2"/>
    <s v="Medium"/>
    <n v="1535"/>
    <s v="$10.00"/>
    <n v="20"/>
    <s v="$30,700.00"/>
    <s v="$2,149.00"/>
    <n v="28551"/>
    <s v="$15,350.00"/>
    <n v="13201"/>
    <d v="2014-09-01T00:00:00"/>
    <n v="9"/>
    <x v="6"/>
    <x v="0"/>
    <s v="Midium"/>
  </r>
  <r>
    <x v="4"/>
    <x v="1"/>
    <x v="2"/>
    <s v="Medium"/>
    <n v="1123"/>
    <s v="$10.00"/>
    <n v="300"/>
    <s v="$3,36,900.00"/>
    <s v="$23,583.00"/>
    <s v="3,13,317.00"/>
    <s v="$2,80,750.00"/>
    <n v="32567"/>
    <d v="2013-09-01T00:00:00"/>
    <n v="9"/>
    <x v="6"/>
    <x v="1"/>
    <s v="Small"/>
  </r>
  <r>
    <x v="4"/>
    <x v="0"/>
    <x v="2"/>
    <s v="Medium"/>
    <n v="1404"/>
    <s v="$10.00"/>
    <n v="300"/>
    <s v="$4,21,200.00"/>
    <s v="$29,484.00"/>
    <s v="3,91,716.00"/>
    <s v="$3,51,000.00"/>
    <n v="40716"/>
    <d v="2013-11-01T00:00:00"/>
    <n v="11"/>
    <x v="9"/>
    <x v="1"/>
    <s v="Small"/>
  </r>
  <r>
    <x v="2"/>
    <x v="3"/>
    <x v="2"/>
    <s v="Medium"/>
    <n v="2763"/>
    <s v="$10.00"/>
    <n v="12"/>
    <s v="$33,156.00"/>
    <s v="$2,320.92"/>
    <n v="30835.08"/>
    <s v="$8,289.00"/>
    <n v="22546.080000000002"/>
    <d v="2013-11-01T00:00:00"/>
    <n v="11"/>
    <x v="9"/>
    <x v="1"/>
    <s v="Midium"/>
  </r>
  <r>
    <x v="0"/>
    <x v="1"/>
    <x v="2"/>
    <s v="Medium"/>
    <n v="2125"/>
    <s v="$10.00"/>
    <n v="7"/>
    <s v="$14,875.00"/>
    <s v="$1,041.25"/>
    <n v="13833.75"/>
    <s v="$10,625.00"/>
    <n v="3208.75"/>
    <d v="2013-12-01T00:00:00"/>
    <n v="12"/>
    <x v="2"/>
    <x v="1"/>
    <s v="Midium"/>
  </r>
  <r>
    <x v="4"/>
    <x v="2"/>
    <x v="3"/>
    <s v="Medium"/>
    <n v="1659"/>
    <s v="$120.00"/>
    <n v="300"/>
    <s v="$4,97,700.00"/>
    <s v="$34,839.00"/>
    <s v="4,62,861.00"/>
    <s v="$4,14,750.00"/>
    <n v="48111"/>
    <d v="2014-07-01T00:00:00"/>
    <n v="7"/>
    <x v="4"/>
    <x v="0"/>
    <s v="Midium"/>
  </r>
  <r>
    <x v="0"/>
    <x v="3"/>
    <x v="3"/>
    <s v="Medium"/>
    <n v="609"/>
    <s v="$120.00"/>
    <n v="20"/>
    <s v="$12,180.00"/>
    <s v="$852.60"/>
    <n v="11327.4"/>
    <s v="$6,090.00"/>
    <n v="5237.3999999999996"/>
    <d v="2014-08-01T00:00:00"/>
    <n v="8"/>
    <x v="5"/>
    <x v="0"/>
    <s v="Small"/>
  </r>
  <r>
    <x v="3"/>
    <x v="1"/>
    <x v="3"/>
    <s v="Medium"/>
    <n v="2087"/>
    <s v="$120.00"/>
    <n v="125"/>
    <s v="$2,60,875.00"/>
    <s v="$18,261.25"/>
    <s v="2,42,613.75"/>
    <s v="$2,50,440.00"/>
    <n v="7826.25"/>
    <d v="2014-09-01T00:00:00"/>
    <n v="9"/>
    <x v="6"/>
    <x v="0"/>
    <s v="Midium"/>
  </r>
  <r>
    <x v="0"/>
    <x v="2"/>
    <x v="3"/>
    <s v="Medium"/>
    <n v="1976"/>
    <s v="$120.00"/>
    <n v="20"/>
    <s v="$39,520.00"/>
    <s v="$2,766.40"/>
    <n v="36753.599999999999"/>
    <s v="$19,760.00"/>
    <n v="16993.599999999999"/>
    <d v="2014-10-01T00:00:00"/>
    <n v="10"/>
    <x v="7"/>
    <x v="0"/>
    <s v="Midium"/>
  </r>
  <r>
    <x v="0"/>
    <x v="4"/>
    <x v="3"/>
    <s v="Medium"/>
    <n v="1421"/>
    <s v="$120.00"/>
    <n v="20"/>
    <s v="$28,420.00"/>
    <s v="$1,989.40"/>
    <n v="26430.6"/>
    <s v="$14,210.00"/>
    <n v="12220.6"/>
    <d v="2013-12-01T00:00:00"/>
    <n v="12"/>
    <x v="2"/>
    <x v="1"/>
    <s v="Small"/>
  </r>
  <r>
    <x v="4"/>
    <x v="4"/>
    <x v="3"/>
    <s v="Medium"/>
    <n v="1372"/>
    <s v="$120.00"/>
    <n v="300"/>
    <s v="$4,11,600.00"/>
    <s v="$28,812.00"/>
    <s v="3,82,788.00"/>
    <s v="$3,43,000.00"/>
    <n v="39788"/>
    <d v="2014-12-01T00:00:00"/>
    <n v="12"/>
    <x v="2"/>
    <x v="0"/>
    <s v="Small"/>
  </r>
  <r>
    <x v="0"/>
    <x v="1"/>
    <x v="3"/>
    <s v="Medium"/>
    <n v="588"/>
    <s v="$120.00"/>
    <n v="20"/>
    <s v="$11,760.00"/>
    <s v="$823.20"/>
    <n v="10936.8"/>
    <s v="$5,880.00"/>
    <n v="5056.8"/>
    <d v="2013-12-01T00:00:00"/>
    <n v="12"/>
    <x v="2"/>
    <x v="1"/>
    <s v="Small"/>
  </r>
  <r>
    <x v="2"/>
    <x v="0"/>
    <x v="4"/>
    <s v="Medium"/>
    <n v="3244.5"/>
    <s v="$250.00"/>
    <n v="12"/>
    <s v="$38,934.00"/>
    <s v="$2,725.38"/>
    <n v="36208.620000000003"/>
    <s v="$9,733.50"/>
    <n v="26475.119999999999"/>
    <d v="2014-01-01T00:00:00"/>
    <n v="1"/>
    <x v="0"/>
    <x v="0"/>
    <s v="Large"/>
  </r>
  <r>
    <x v="4"/>
    <x v="2"/>
    <x v="4"/>
    <s v="Medium"/>
    <n v="959"/>
    <s v="$250.00"/>
    <n v="300"/>
    <s v="$2,87,700.00"/>
    <s v="$20,139.00"/>
    <s v="2,67,561.00"/>
    <s v="$2,39,750.00"/>
    <n v="27811"/>
    <d v="2014-02-01T00:00:00"/>
    <n v="2"/>
    <x v="8"/>
    <x v="0"/>
    <s v="Small"/>
  </r>
  <r>
    <x v="4"/>
    <x v="3"/>
    <x v="4"/>
    <s v="Medium"/>
    <n v="2747"/>
    <s v="$250.00"/>
    <n v="300"/>
    <s v="$8,24,100.00"/>
    <s v="$57,687.00"/>
    <s v="7,66,413.00"/>
    <s v="$6,86,750.00"/>
    <n v="79663"/>
    <d v="2014-02-01T00:00:00"/>
    <n v="2"/>
    <x v="8"/>
    <x v="0"/>
    <s v="Midium"/>
  </r>
  <r>
    <x v="3"/>
    <x v="0"/>
    <x v="5"/>
    <s v="Medium"/>
    <n v="1645"/>
    <s v="$260.00"/>
    <n v="125"/>
    <s v="$2,05,625.00"/>
    <s v="$14,393.75"/>
    <s v="1,91,231.25"/>
    <s v="$1,97,400.00"/>
    <n v="6168.75"/>
    <d v="2014-05-01T00:00:00"/>
    <n v="5"/>
    <x v="11"/>
    <x v="0"/>
    <s v="Midium"/>
  </r>
  <r>
    <x v="0"/>
    <x v="2"/>
    <x v="5"/>
    <s v="Medium"/>
    <n v="2876"/>
    <s v="$260.00"/>
    <n v="350"/>
    <s v="$10,06,600.00"/>
    <s v="$70,462.00"/>
    <s v="9,36,138.00"/>
    <s v="$7,47,760.00"/>
    <s v="1,88,378.00"/>
    <d v="2014-09-01T00:00:00"/>
    <n v="9"/>
    <x v="6"/>
    <x v="0"/>
    <s v="Midium"/>
  </r>
  <r>
    <x v="3"/>
    <x v="1"/>
    <x v="5"/>
    <s v="Medium"/>
    <n v="994"/>
    <s v="$260.00"/>
    <n v="125"/>
    <s v="$1,24,250.00"/>
    <s v="$8,697.50"/>
    <s v="1,15,552.50"/>
    <s v="$1,19,280.00"/>
    <n v="3727.5"/>
    <d v="2013-09-01T00:00:00"/>
    <n v="9"/>
    <x v="6"/>
    <x v="1"/>
    <s v="Small"/>
  </r>
  <r>
    <x v="0"/>
    <x v="0"/>
    <x v="5"/>
    <s v="Medium"/>
    <n v="1118"/>
    <s v="$260.00"/>
    <n v="20"/>
    <s v="$22,360.00"/>
    <s v="$1,565.20"/>
    <n v="20794.8"/>
    <s v="$11,180.00"/>
    <n v="9614.7999999999993"/>
    <d v="2014-11-01T00:00:00"/>
    <n v="11"/>
    <x v="9"/>
    <x v="0"/>
    <s v="Small"/>
  </r>
  <r>
    <x v="4"/>
    <x v="4"/>
    <x v="5"/>
    <s v="Medium"/>
    <n v="1372"/>
    <s v="$260.00"/>
    <n v="300"/>
    <s v="$4,11,600.00"/>
    <s v="$28,812.00"/>
    <s v="3,82,788.00"/>
    <s v="$3,43,000.00"/>
    <n v="39788"/>
    <d v="2014-12-01T00:00:00"/>
    <n v="12"/>
    <x v="2"/>
    <x v="0"/>
    <s v="Small"/>
  </r>
  <r>
    <x v="0"/>
    <x v="0"/>
    <x v="1"/>
    <s v="Medium"/>
    <n v="488"/>
    <s v="$5.00"/>
    <n v="7"/>
    <s v="$3,416.00"/>
    <s v="$273.28"/>
    <n v="3142.72"/>
    <s v="$2,440.00"/>
    <n v="702.72"/>
    <d v="2014-02-01T00:00:00"/>
    <n v="2"/>
    <x v="8"/>
    <x v="0"/>
    <s v="Small"/>
  </r>
  <r>
    <x v="0"/>
    <x v="4"/>
    <x v="1"/>
    <s v="Medium"/>
    <n v="1282"/>
    <s v="$5.00"/>
    <n v="20"/>
    <s v="$25,640.00"/>
    <s v="$2,051.20"/>
    <n v="23588.799999999999"/>
    <s v="$12,820.00"/>
    <n v="10768.8"/>
    <d v="2014-06-01T00:00:00"/>
    <n v="6"/>
    <x v="1"/>
    <x v="0"/>
    <s v="Small"/>
  </r>
  <r>
    <x v="0"/>
    <x v="0"/>
    <x v="2"/>
    <s v="Medium"/>
    <n v="257"/>
    <s v="$10.00"/>
    <n v="7"/>
    <s v="$1,799.00"/>
    <s v="$143.92"/>
    <n v="1655.08"/>
    <s v="$1,285.00"/>
    <n v="370.08"/>
    <d v="2014-05-01T00:00:00"/>
    <n v="5"/>
    <x v="11"/>
    <x v="0"/>
    <s v="Small"/>
  </r>
  <r>
    <x v="0"/>
    <x v="4"/>
    <x v="5"/>
    <s v="Medium"/>
    <n v="1282"/>
    <s v="$260.00"/>
    <n v="20"/>
    <s v="$25,640.00"/>
    <s v="$2,051.20"/>
    <n v="23588.799999999999"/>
    <s v="$12,820.00"/>
    <n v="10768.8"/>
    <d v="2014-06-01T00:00:00"/>
    <n v="6"/>
    <x v="1"/>
    <x v="0"/>
    <s v="Small"/>
  </r>
  <r>
    <x v="3"/>
    <x v="3"/>
    <x v="0"/>
    <s v="Medium"/>
    <n v="1540"/>
    <s v="$3.00"/>
    <n v="125"/>
    <s v="$1,92,500.00"/>
    <s v="$15,400.00"/>
    <s v="1,77,100.00"/>
    <s v="$1,84,800.00"/>
    <n v="7700"/>
    <d v="2014-08-01T00:00:00"/>
    <n v="8"/>
    <x v="5"/>
    <x v="0"/>
    <s v="Midium"/>
  </r>
  <r>
    <x v="1"/>
    <x v="2"/>
    <x v="0"/>
    <s v="Medium"/>
    <n v="490"/>
    <s v="$3.00"/>
    <n v="15"/>
    <s v="$7,350.00"/>
    <s v="$588.00"/>
    <n v="6762"/>
    <s v="$4,900.00"/>
    <n v="1862"/>
    <d v="2014-11-01T00:00:00"/>
    <n v="11"/>
    <x v="9"/>
    <x v="0"/>
    <s v="Small"/>
  </r>
  <r>
    <x v="0"/>
    <x v="3"/>
    <x v="0"/>
    <s v="Medium"/>
    <n v="1362"/>
    <s v="$3.00"/>
    <n v="350"/>
    <s v="$4,76,700.00"/>
    <s v="$38,136.00"/>
    <s v="4,38,564.00"/>
    <s v="$3,54,120.00"/>
    <n v="84444"/>
    <d v="2014-12-01T00:00:00"/>
    <n v="12"/>
    <x v="2"/>
    <x v="0"/>
    <s v="Small"/>
  </r>
  <r>
    <x v="1"/>
    <x v="2"/>
    <x v="1"/>
    <s v="Medium"/>
    <n v="2501"/>
    <s v="$5.00"/>
    <n v="15"/>
    <s v="$37,515.00"/>
    <s v="$3,001.20"/>
    <n v="34513.800000000003"/>
    <s v="$25,010.00"/>
    <n v="9503.7999999999993"/>
    <d v="2014-03-01T00:00:00"/>
    <n v="3"/>
    <x v="3"/>
    <x v="0"/>
    <s v="Midium"/>
  </r>
  <r>
    <x v="0"/>
    <x v="0"/>
    <x v="1"/>
    <s v="Medium"/>
    <n v="708"/>
    <s v="$5.00"/>
    <n v="20"/>
    <s v="$14,160.00"/>
    <s v="$1,132.80"/>
    <n v="13027.2"/>
    <s v="$7,080.00"/>
    <n v="5947.2"/>
    <d v="2014-06-01T00:00:00"/>
    <n v="6"/>
    <x v="1"/>
    <x v="0"/>
    <s v="Small"/>
  </r>
  <r>
    <x v="0"/>
    <x v="1"/>
    <x v="1"/>
    <s v="Medium"/>
    <n v="645"/>
    <s v="$5.00"/>
    <n v="20"/>
    <s v="$12,900.00"/>
    <s v="$1,032.00"/>
    <n v="11868"/>
    <s v="$6,450.00"/>
    <n v="5418"/>
    <d v="2014-07-01T00:00:00"/>
    <n v="7"/>
    <x v="4"/>
    <x v="0"/>
    <s v="Small"/>
  </r>
  <r>
    <x v="4"/>
    <x v="2"/>
    <x v="1"/>
    <s v="Medium"/>
    <n v="1562"/>
    <s v="$5.00"/>
    <n v="300"/>
    <s v="$4,68,600.00"/>
    <s v="$37,488.00"/>
    <s v="4,31,112.00"/>
    <s v="$3,90,500.00"/>
    <n v="40612"/>
    <d v="2014-08-01T00:00:00"/>
    <n v="8"/>
    <x v="5"/>
    <x v="0"/>
    <s v="Midium"/>
  </r>
  <r>
    <x v="4"/>
    <x v="0"/>
    <x v="1"/>
    <s v="Medium"/>
    <n v="1283"/>
    <s v="$5.00"/>
    <n v="300"/>
    <s v="$3,84,900.00"/>
    <s v="$30,792.00"/>
    <s v="3,54,108.00"/>
    <s v="$3,20,750.00"/>
    <n v="33358"/>
    <d v="2013-09-01T00:00:00"/>
    <n v="9"/>
    <x v="6"/>
    <x v="1"/>
    <s v="Small"/>
  </r>
  <r>
    <x v="1"/>
    <x v="1"/>
    <x v="1"/>
    <s v="Medium"/>
    <n v="711"/>
    <s v="$5.00"/>
    <n v="15"/>
    <s v="$10,665.00"/>
    <s v="$853.20"/>
    <n v="9811.7999999999993"/>
    <s v="$7,110.00"/>
    <n v="2701.8"/>
    <d v="2014-12-01T00:00:00"/>
    <n v="12"/>
    <x v="2"/>
    <x v="0"/>
    <s v="Small"/>
  </r>
  <r>
    <x v="3"/>
    <x v="3"/>
    <x v="2"/>
    <s v="Medium"/>
    <n v="1114"/>
    <s v="$10.00"/>
    <n v="125"/>
    <s v="$1,39,250.00"/>
    <s v="$11,140.00"/>
    <s v="1,28,110.00"/>
    <s v="$1,33,680.00"/>
    <n v="5570"/>
    <d v="2014-03-01T00:00:00"/>
    <n v="3"/>
    <x v="3"/>
    <x v="0"/>
    <s v="Small"/>
  </r>
  <r>
    <x v="0"/>
    <x v="1"/>
    <x v="2"/>
    <s v="Medium"/>
    <n v="1259"/>
    <s v="$10.00"/>
    <n v="7"/>
    <s v="$8,813.00"/>
    <s v="$705.04"/>
    <n v="8107.96"/>
    <s v="$6,295.00"/>
    <n v="1812.96"/>
    <d v="2014-04-01T00:00:00"/>
    <n v="4"/>
    <x v="10"/>
    <x v="0"/>
    <s v="Small"/>
  </r>
  <r>
    <x v="0"/>
    <x v="1"/>
    <x v="2"/>
    <s v="Medium"/>
    <n v="1095"/>
    <s v="$10.00"/>
    <n v="7"/>
    <s v="$7,665.00"/>
    <s v="$613.20"/>
    <n v="7051.8"/>
    <s v="$5,475.00"/>
    <n v="1576.8"/>
    <d v="2014-05-01T00:00:00"/>
    <n v="5"/>
    <x v="11"/>
    <x v="0"/>
    <s v="Small"/>
  </r>
  <r>
    <x v="0"/>
    <x v="1"/>
    <x v="2"/>
    <s v="Medium"/>
    <n v="1366"/>
    <s v="$10.00"/>
    <n v="20"/>
    <s v="$27,320.00"/>
    <s v="$2,185.60"/>
    <n v="25134.400000000001"/>
    <s v="$13,660.00"/>
    <n v="11474.4"/>
    <d v="2014-06-01T00:00:00"/>
    <n v="6"/>
    <x v="1"/>
    <x v="0"/>
    <s v="Small"/>
  </r>
  <r>
    <x v="4"/>
    <x v="3"/>
    <x v="2"/>
    <s v="Medium"/>
    <n v="2460"/>
    <s v="$10.00"/>
    <n v="300"/>
    <s v="$7,38,000.00"/>
    <s v="$59,040.00"/>
    <s v="6,78,960.00"/>
    <s v="$6,15,000.00"/>
    <n v="63960"/>
    <d v="2014-06-01T00:00:00"/>
    <n v="6"/>
    <x v="1"/>
    <x v="0"/>
    <s v="Midium"/>
  </r>
  <r>
    <x v="0"/>
    <x v="4"/>
    <x v="2"/>
    <s v="Medium"/>
    <n v="678"/>
    <s v="$10.00"/>
    <n v="7"/>
    <s v="$4,746.00"/>
    <s v="$379.68"/>
    <n v="4366.32"/>
    <s v="$3,390.00"/>
    <n v="976.32"/>
    <d v="2014-08-01T00:00:00"/>
    <n v="8"/>
    <x v="5"/>
    <x v="0"/>
    <s v="Small"/>
  </r>
  <r>
    <x v="0"/>
    <x v="1"/>
    <x v="2"/>
    <s v="Medium"/>
    <n v="1598"/>
    <s v="$10.00"/>
    <n v="7"/>
    <s v="$11,186.00"/>
    <s v="$894.88"/>
    <n v="10291.120000000001"/>
    <s v="$7,990.00"/>
    <n v="2301.12"/>
    <d v="2014-08-01T00:00:00"/>
    <n v="8"/>
    <x v="5"/>
    <x v="0"/>
    <s v="Midium"/>
  </r>
  <r>
    <x v="0"/>
    <x v="1"/>
    <x v="2"/>
    <s v="Medium"/>
    <n v="2409"/>
    <s v="$10.00"/>
    <n v="7"/>
    <s v="$16,863.00"/>
    <s v="$1,349.04"/>
    <n v="15513.96"/>
    <s v="$12,045.00"/>
    <n v="3468.96"/>
    <d v="2013-09-01T00:00:00"/>
    <n v="9"/>
    <x v="6"/>
    <x v="1"/>
    <s v="Midium"/>
  </r>
  <r>
    <x v="0"/>
    <x v="1"/>
    <x v="2"/>
    <s v="Medium"/>
    <n v="1934"/>
    <s v="$10.00"/>
    <n v="20"/>
    <s v="$38,680.00"/>
    <s v="$3,094.40"/>
    <n v="35585.599999999999"/>
    <s v="$19,340.00"/>
    <n v="16245.6"/>
    <d v="2014-09-01T00:00:00"/>
    <n v="9"/>
    <x v="6"/>
    <x v="0"/>
    <s v="Midium"/>
  </r>
  <r>
    <x v="0"/>
    <x v="3"/>
    <x v="2"/>
    <s v="Medium"/>
    <n v="2993"/>
    <s v="$10.00"/>
    <n v="20"/>
    <s v="$59,860.00"/>
    <s v="$4,788.80"/>
    <n v="55071.199999999997"/>
    <s v="$29,930.00"/>
    <n v="25141.200000000001"/>
    <d v="2014-09-01T00:00:00"/>
    <n v="9"/>
    <x v="6"/>
    <x v="0"/>
    <s v="Midium"/>
  </r>
  <r>
    <x v="0"/>
    <x v="1"/>
    <x v="2"/>
    <s v="Medium"/>
    <n v="2146"/>
    <s v="$10.00"/>
    <n v="350"/>
    <s v="$7,51,100.00"/>
    <s v="$60,088.00"/>
    <s v="6,91,012.00"/>
    <s v="$5,57,960.00"/>
    <s v="1,33,052.00"/>
    <d v="2013-11-01T00:00:00"/>
    <n v="11"/>
    <x v="9"/>
    <x v="1"/>
    <s v="Midium"/>
  </r>
  <r>
    <x v="0"/>
    <x v="3"/>
    <x v="2"/>
    <s v="Medium"/>
    <n v="1946"/>
    <s v="$10.00"/>
    <n v="7"/>
    <s v="$13,622.00"/>
    <s v="$1,089.76"/>
    <n v="12532.24"/>
    <s v="$9,730.00"/>
    <n v="2802.24"/>
    <d v="2013-12-01T00:00:00"/>
    <n v="12"/>
    <x v="2"/>
    <x v="1"/>
    <s v="Midium"/>
  </r>
  <r>
    <x v="0"/>
    <x v="3"/>
    <x v="2"/>
    <s v="Medium"/>
    <n v="1362"/>
    <s v="$10.00"/>
    <n v="350"/>
    <s v="$4,76,700.00"/>
    <s v="$38,136.00"/>
    <s v="4,38,564.00"/>
    <s v="$3,54,120.00"/>
    <n v="84444"/>
    <d v="2014-12-01T00:00:00"/>
    <n v="12"/>
    <x v="2"/>
    <x v="0"/>
    <s v="Small"/>
  </r>
  <r>
    <x v="2"/>
    <x v="0"/>
    <x v="3"/>
    <s v="Medium"/>
    <n v="598"/>
    <s v="$120.00"/>
    <n v="12"/>
    <s v="$7,176.00"/>
    <s v="$574.08"/>
    <n v="6601.92"/>
    <s v="$1,794.00"/>
    <n v="4807.92"/>
    <d v="2014-03-01T00:00:00"/>
    <n v="3"/>
    <x v="3"/>
    <x v="0"/>
    <s v="Small"/>
  </r>
  <r>
    <x v="0"/>
    <x v="4"/>
    <x v="3"/>
    <s v="Medium"/>
    <n v="2907"/>
    <s v="$120.00"/>
    <n v="7"/>
    <s v="$20,349.00"/>
    <s v="$1,627.92"/>
    <n v="18721.080000000002"/>
    <s v="$14,535.00"/>
    <n v="4186.08"/>
    <d v="2014-06-01T00:00:00"/>
    <n v="6"/>
    <x v="1"/>
    <x v="0"/>
    <s v="Midium"/>
  </r>
  <r>
    <x v="0"/>
    <x v="1"/>
    <x v="3"/>
    <s v="Medium"/>
    <n v="2338"/>
    <s v="$120.00"/>
    <n v="7"/>
    <s v="$16,366.00"/>
    <s v="$1,309.28"/>
    <n v="15056.72"/>
    <s v="$11,690.00"/>
    <n v="3366.72"/>
    <d v="2014-06-01T00:00:00"/>
    <n v="6"/>
    <x v="1"/>
    <x v="0"/>
    <s v="Midium"/>
  </r>
  <r>
    <x v="4"/>
    <x v="2"/>
    <x v="3"/>
    <s v="Medium"/>
    <n v="386"/>
    <s v="$120.00"/>
    <n v="300"/>
    <s v="$1,15,800.00"/>
    <s v="$9,264.00"/>
    <s v="1,06,536.00"/>
    <s v="$96,500.00"/>
    <n v="10036"/>
    <d v="2013-11-01T00:00:00"/>
    <n v="11"/>
    <x v="9"/>
    <x v="1"/>
    <s v="Small"/>
  </r>
  <r>
    <x v="4"/>
    <x v="3"/>
    <x v="3"/>
    <s v="Medium"/>
    <n v="635"/>
    <s v="$120.00"/>
    <n v="300"/>
    <s v="$1,90,500.00"/>
    <s v="$15,240.00"/>
    <s v="1,75,260.00"/>
    <s v="$1,58,750.00"/>
    <n v="16510"/>
    <d v="2014-12-01T00:00:00"/>
    <n v="12"/>
    <x v="2"/>
    <x v="0"/>
    <s v="Small"/>
  </r>
  <r>
    <x v="0"/>
    <x v="2"/>
    <x v="4"/>
    <s v="Medium"/>
    <n v="574.5"/>
    <s v="$250.00"/>
    <n v="350"/>
    <s v="$2,01,075.00"/>
    <s v="$16,086.00"/>
    <s v="1,84,989.00"/>
    <s v="$1,49,370.00"/>
    <n v="35619"/>
    <d v="2014-04-01T00:00:00"/>
    <n v="4"/>
    <x v="10"/>
    <x v="0"/>
    <s v="Small"/>
  </r>
  <r>
    <x v="0"/>
    <x v="1"/>
    <x v="4"/>
    <s v="Medium"/>
    <n v="2338"/>
    <s v="$250.00"/>
    <n v="7"/>
    <s v="$16,366.00"/>
    <s v="$1,309.28"/>
    <n v="15056.72"/>
    <s v="$11,690.00"/>
    <n v="3366.72"/>
    <d v="2014-06-01T00:00:00"/>
    <n v="6"/>
    <x v="1"/>
    <x v="0"/>
    <s v="Midium"/>
  </r>
  <r>
    <x v="0"/>
    <x v="2"/>
    <x v="4"/>
    <s v="Medium"/>
    <n v="381"/>
    <s v="$250.00"/>
    <n v="350"/>
    <s v="$1,33,350.00"/>
    <s v="$10,668.00"/>
    <s v="1,22,682.00"/>
    <s v="$99,060.00"/>
    <n v="23622"/>
    <d v="2014-08-01T00:00:00"/>
    <n v="8"/>
    <x v="5"/>
    <x v="0"/>
    <s v="Small"/>
  </r>
  <r>
    <x v="0"/>
    <x v="1"/>
    <x v="4"/>
    <s v="Medium"/>
    <n v="422"/>
    <s v="$250.00"/>
    <n v="350"/>
    <s v="$1,47,700.00"/>
    <s v="$11,816.00"/>
    <s v="1,35,884.00"/>
    <s v="$1,09,720.00"/>
    <n v="26164"/>
    <d v="2014-08-01T00:00:00"/>
    <n v="8"/>
    <x v="5"/>
    <x v="0"/>
    <s v="Small"/>
  </r>
  <r>
    <x v="4"/>
    <x v="0"/>
    <x v="4"/>
    <s v="Medium"/>
    <n v="2134"/>
    <s v="$250.00"/>
    <n v="300"/>
    <s v="$6,40,200.00"/>
    <s v="$51,216.00"/>
    <s v="5,88,984.00"/>
    <s v="$5,33,500.00"/>
    <n v="55484"/>
    <d v="2014-09-01T00:00:00"/>
    <n v="9"/>
    <x v="6"/>
    <x v="0"/>
    <s v="Midium"/>
  </r>
  <r>
    <x v="4"/>
    <x v="4"/>
    <x v="4"/>
    <s v="Medium"/>
    <n v="808"/>
    <s v="$250.00"/>
    <n v="300"/>
    <s v="$2,42,400.00"/>
    <s v="$19,392.00"/>
    <s v="2,23,008.00"/>
    <s v="$2,02,000.00"/>
    <n v="21008"/>
    <d v="2013-12-01T00:00:00"/>
    <n v="12"/>
    <x v="2"/>
    <x v="1"/>
    <s v="Small"/>
  </r>
  <r>
    <x v="0"/>
    <x v="0"/>
    <x v="5"/>
    <s v="Medium"/>
    <n v="708"/>
    <s v="$260.00"/>
    <n v="20"/>
    <s v="$14,160.00"/>
    <s v="$1,132.80"/>
    <n v="13027.2"/>
    <s v="$7,080.00"/>
    <n v="5947.2"/>
    <d v="2014-06-01T00:00:00"/>
    <n v="6"/>
    <x v="1"/>
    <x v="0"/>
    <s v="Small"/>
  </r>
  <r>
    <x v="0"/>
    <x v="4"/>
    <x v="5"/>
    <s v="Medium"/>
    <n v="2907"/>
    <s v="$260.00"/>
    <n v="7"/>
    <s v="$20,349.00"/>
    <s v="$1,627.92"/>
    <n v="18721.080000000002"/>
    <s v="$14,535.00"/>
    <n v="4186.08"/>
    <d v="2014-06-01T00:00:00"/>
    <n v="6"/>
    <x v="1"/>
    <x v="0"/>
    <s v="Midium"/>
  </r>
  <r>
    <x v="0"/>
    <x v="1"/>
    <x v="5"/>
    <s v="Medium"/>
    <n v="1366"/>
    <s v="$260.00"/>
    <n v="20"/>
    <s v="$27,320.00"/>
    <s v="$2,185.60"/>
    <n v="25134.400000000001"/>
    <s v="$13,660.00"/>
    <n v="11474.4"/>
    <d v="2014-06-01T00:00:00"/>
    <n v="6"/>
    <x v="1"/>
    <x v="0"/>
    <s v="Small"/>
  </r>
  <r>
    <x v="4"/>
    <x v="3"/>
    <x v="5"/>
    <s v="Medium"/>
    <n v="2460"/>
    <s v="$260.00"/>
    <n v="300"/>
    <s v="$7,38,000.00"/>
    <s v="$59,040.00"/>
    <s v="6,78,960.00"/>
    <s v="$6,15,000.00"/>
    <n v="63960"/>
    <d v="2014-06-01T00:00:00"/>
    <n v="6"/>
    <x v="1"/>
    <x v="0"/>
    <s v="Midium"/>
  </r>
  <r>
    <x v="0"/>
    <x v="1"/>
    <x v="5"/>
    <s v="Medium"/>
    <n v="1520"/>
    <s v="$260.00"/>
    <n v="20"/>
    <s v="$30,400.00"/>
    <s v="$2,432.00"/>
    <n v="27968"/>
    <s v="$15,200.00"/>
    <n v="12768"/>
    <d v="2014-11-01T00:00:00"/>
    <n v="11"/>
    <x v="9"/>
    <x v="0"/>
    <s v="Midium"/>
  </r>
  <r>
    <x v="1"/>
    <x v="1"/>
    <x v="5"/>
    <s v="Medium"/>
    <n v="711"/>
    <s v="$260.00"/>
    <n v="15"/>
    <s v="$10,665.00"/>
    <s v="$853.20"/>
    <n v="9811.7999999999993"/>
    <s v="$7,110.00"/>
    <n v="2701.8"/>
    <d v="2014-12-01T00:00:00"/>
    <n v="12"/>
    <x v="2"/>
    <x v="0"/>
    <s v="Small"/>
  </r>
  <r>
    <x v="2"/>
    <x v="3"/>
    <x v="5"/>
    <s v="Medium"/>
    <n v="1375"/>
    <s v="$260.00"/>
    <n v="12"/>
    <s v="$16,500.00"/>
    <s v="$1,320.00"/>
    <n v="15180"/>
    <s v="$4,125.00"/>
    <n v="11055"/>
    <d v="2013-12-01T00:00:00"/>
    <n v="12"/>
    <x v="2"/>
    <x v="1"/>
    <s v="Small"/>
  </r>
  <r>
    <x v="4"/>
    <x v="3"/>
    <x v="5"/>
    <s v="Medium"/>
    <n v="635"/>
    <s v="$260.00"/>
    <n v="300"/>
    <s v="$1,90,500.00"/>
    <s v="$15,240.00"/>
    <s v="1,75,260.00"/>
    <s v="$1,58,750.00"/>
    <n v="16510"/>
    <d v="2014-12-01T00:00:00"/>
    <n v="12"/>
    <x v="2"/>
    <x v="0"/>
    <s v="Small"/>
  </r>
  <r>
    <x v="0"/>
    <x v="4"/>
    <x v="4"/>
    <s v="Medium"/>
    <n v="436.5"/>
    <s v="$250.00"/>
    <n v="20"/>
    <s v="$8,730.00"/>
    <s v="$698.40"/>
    <n v="8031.6"/>
    <s v="$4,365.00"/>
    <n v="3666.6"/>
    <d v="2014-07-01T00:00:00"/>
    <n v="7"/>
    <x v="4"/>
    <x v="0"/>
    <s v="Small"/>
  </r>
  <r>
    <x v="4"/>
    <x v="0"/>
    <x v="0"/>
    <s v="Medium"/>
    <n v="1094"/>
    <s v="$3.00"/>
    <n v="300"/>
    <s v="$3,28,200.00"/>
    <s v="$29,538.00"/>
    <s v="2,98,662.00"/>
    <s v="$2,73,500.00"/>
    <n v="25162"/>
    <d v="2014-06-01T00:00:00"/>
    <n v="6"/>
    <x v="1"/>
    <x v="0"/>
    <s v="Small"/>
  </r>
  <r>
    <x v="2"/>
    <x v="3"/>
    <x v="0"/>
    <s v="Medium"/>
    <n v="367"/>
    <s v="$3.00"/>
    <n v="12"/>
    <s v="$4,404.00"/>
    <s v="$396.36"/>
    <n v="4007.64"/>
    <s v="$1,101.00"/>
    <n v="2906.64"/>
    <d v="2013-10-01T00:00:00"/>
    <n v="10"/>
    <x v="7"/>
    <x v="1"/>
    <s v="Small"/>
  </r>
  <r>
    <x v="4"/>
    <x v="0"/>
    <x v="1"/>
    <s v="Medium"/>
    <n v="3802.5"/>
    <s v="$5.00"/>
    <n v="300"/>
    <s v="$11,40,750.00"/>
    <s v="$1,02,667.50"/>
    <s v="10,38,082.50"/>
    <s v="$9,50,625.00"/>
    <n v="87457.5"/>
    <d v="2014-04-01T00:00:00"/>
    <n v="4"/>
    <x v="10"/>
    <x v="0"/>
    <s v="Large"/>
  </r>
  <r>
    <x v="0"/>
    <x v="2"/>
    <x v="1"/>
    <s v="Medium"/>
    <n v="1666"/>
    <s v="$5.00"/>
    <n v="350"/>
    <s v="$5,83,100.00"/>
    <s v="$52,479.00"/>
    <s v="5,30,621.00"/>
    <s v="$4,33,160.00"/>
    <n v="97461"/>
    <d v="2014-05-01T00:00:00"/>
    <n v="5"/>
    <x v="11"/>
    <x v="0"/>
    <s v="Midium"/>
  </r>
  <r>
    <x v="4"/>
    <x v="2"/>
    <x v="1"/>
    <s v="Medium"/>
    <n v="322"/>
    <s v="$5.00"/>
    <n v="300"/>
    <s v="$96,600.00"/>
    <s v="$8,694.00"/>
    <n v="87906"/>
    <s v="$80,500.00"/>
    <n v="7406"/>
    <d v="2013-09-01T00:00:00"/>
    <n v="9"/>
    <x v="6"/>
    <x v="1"/>
    <s v="Small"/>
  </r>
  <r>
    <x v="2"/>
    <x v="0"/>
    <x v="1"/>
    <s v="Medium"/>
    <n v="2321"/>
    <s v="$5.00"/>
    <n v="12"/>
    <s v="$27,852.00"/>
    <s v="$2,506.68"/>
    <n v="25345.32"/>
    <s v="$6,963.00"/>
    <n v="18382.32"/>
    <d v="2014-11-01T00:00:00"/>
    <n v="11"/>
    <x v="9"/>
    <x v="0"/>
    <s v="Midium"/>
  </r>
  <r>
    <x v="3"/>
    <x v="2"/>
    <x v="1"/>
    <s v="Medium"/>
    <n v="1857"/>
    <s v="$5.00"/>
    <n v="125"/>
    <s v="$2,32,125.00"/>
    <s v="$20,891.25"/>
    <s v="2,11,233.75"/>
    <s v="$2,22,840.00"/>
    <n v="11606.25"/>
    <d v="2013-11-01T00:00:00"/>
    <n v="11"/>
    <x v="9"/>
    <x v="1"/>
    <s v="Midium"/>
  </r>
  <r>
    <x v="0"/>
    <x v="0"/>
    <x v="1"/>
    <s v="Medium"/>
    <n v="1611"/>
    <s v="$5.00"/>
    <n v="7"/>
    <s v="$11,277.00"/>
    <s v="$1,014.93"/>
    <n v="10262.07"/>
    <s v="$8,055.00"/>
    <n v="2207.0700000000002"/>
    <d v="2013-12-01T00:00:00"/>
    <n v="12"/>
    <x v="2"/>
    <x v="1"/>
    <s v="Midium"/>
  </r>
  <r>
    <x v="3"/>
    <x v="4"/>
    <x v="1"/>
    <s v="Medium"/>
    <n v="2797"/>
    <s v="$5.00"/>
    <n v="125"/>
    <s v="$3,49,625.00"/>
    <s v="$31,466.25"/>
    <s v="3,18,158.75"/>
    <s v="$3,35,640.00"/>
    <n v="17481.25"/>
    <d v="2014-12-01T00:00:00"/>
    <n v="12"/>
    <x v="2"/>
    <x v="0"/>
    <s v="Midium"/>
  </r>
  <r>
    <x v="4"/>
    <x v="1"/>
    <x v="1"/>
    <s v="Medium"/>
    <n v="334"/>
    <s v="$5.00"/>
    <n v="300"/>
    <s v="$1,00,200.00"/>
    <s v="$9,018.00"/>
    <n v="91182"/>
    <s v="$83,500.00"/>
    <n v="7682"/>
    <d v="2013-12-01T00:00:00"/>
    <n v="12"/>
    <x v="2"/>
    <x v="1"/>
    <s v="Small"/>
  </r>
  <r>
    <x v="4"/>
    <x v="3"/>
    <x v="2"/>
    <s v="Medium"/>
    <n v="2565"/>
    <s v="$10.00"/>
    <n v="300"/>
    <s v="$7,69,500.00"/>
    <s v="$69,255.00"/>
    <s v="7,00,245.00"/>
    <s v="$6,41,250.00"/>
    <n v="58995"/>
    <d v="2014-01-01T00:00:00"/>
    <n v="1"/>
    <x v="0"/>
    <x v="0"/>
    <s v="Midium"/>
  </r>
  <r>
    <x v="0"/>
    <x v="3"/>
    <x v="2"/>
    <s v="Medium"/>
    <n v="2417"/>
    <s v="$10.00"/>
    <n v="350"/>
    <s v="$8,45,950.00"/>
    <s v="$76,135.50"/>
    <s v="7,69,814.50"/>
    <s v="$6,28,420.00"/>
    <s v="1,41,394.50"/>
    <d v="2014-01-01T00:00:00"/>
    <n v="1"/>
    <x v="0"/>
    <x v="0"/>
    <s v="Midium"/>
  </r>
  <r>
    <x v="1"/>
    <x v="4"/>
    <x v="2"/>
    <s v="Medium"/>
    <n v="3675"/>
    <s v="$10.00"/>
    <n v="15"/>
    <s v="$55,125.00"/>
    <s v="$4,961.25"/>
    <n v="50163.75"/>
    <s v="$36,750.00"/>
    <n v="13413.75"/>
    <d v="2014-04-01T00:00:00"/>
    <n v="4"/>
    <x v="10"/>
    <x v="0"/>
    <s v="Large"/>
  </r>
  <r>
    <x v="4"/>
    <x v="0"/>
    <x v="2"/>
    <s v="Medium"/>
    <n v="1094"/>
    <s v="$10.00"/>
    <n v="300"/>
    <s v="$3,28,200.00"/>
    <s v="$29,538.00"/>
    <s v="2,98,662.00"/>
    <s v="$2,73,500.00"/>
    <n v="25162"/>
    <d v="2014-06-01T00:00:00"/>
    <n v="6"/>
    <x v="1"/>
    <x v="0"/>
    <s v="Small"/>
  </r>
  <r>
    <x v="1"/>
    <x v="2"/>
    <x v="2"/>
    <s v="Medium"/>
    <n v="1227"/>
    <s v="$10.00"/>
    <n v="15"/>
    <s v="$18,405.00"/>
    <s v="$1,656.45"/>
    <n v="16748.55"/>
    <s v="$12,270.00"/>
    <n v="4478.55"/>
    <d v="2014-10-01T00:00:00"/>
    <n v="10"/>
    <x v="7"/>
    <x v="0"/>
    <s v="Small"/>
  </r>
  <r>
    <x v="2"/>
    <x v="3"/>
    <x v="2"/>
    <s v="Medium"/>
    <n v="367"/>
    <s v="$10.00"/>
    <n v="12"/>
    <s v="$4,404.00"/>
    <s v="$396.36"/>
    <n v="4007.64"/>
    <s v="$1,101.00"/>
    <n v="2906.64"/>
    <d v="2013-10-01T00:00:00"/>
    <n v="10"/>
    <x v="7"/>
    <x v="1"/>
    <s v="Small"/>
  </r>
  <r>
    <x v="4"/>
    <x v="2"/>
    <x v="2"/>
    <s v="Medium"/>
    <n v="1324"/>
    <s v="$10.00"/>
    <n v="300"/>
    <s v="$3,97,200.00"/>
    <s v="$35,748.00"/>
    <s v="3,61,452.00"/>
    <s v="$3,31,000.00"/>
    <n v="30452"/>
    <d v="2014-11-01T00:00:00"/>
    <n v="11"/>
    <x v="9"/>
    <x v="0"/>
    <s v="Small"/>
  </r>
  <r>
    <x v="2"/>
    <x v="1"/>
    <x v="2"/>
    <s v="Medium"/>
    <n v="1775"/>
    <s v="$10.00"/>
    <n v="12"/>
    <s v="$21,300.00"/>
    <s v="$1,917.00"/>
    <n v="19383"/>
    <s v="$5,325.00"/>
    <n v="14058"/>
    <d v="2013-11-01T00:00:00"/>
    <n v="11"/>
    <x v="9"/>
    <x v="1"/>
    <s v="Midium"/>
  </r>
  <r>
    <x v="3"/>
    <x v="4"/>
    <x v="2"/>
    <s v="Medium"/>
    <n v="2797"/>
    <s v="$10.00"/>
    <n v="125"/>
    <s v="$3,49,625.00"/>
    <s v="$31,466.25"/>
    <s v="3,18,158.75"/>
    <s v="$3,35,640.00"/>
    <n v="17481.25"/>
    <d v="2014-12-01T00:00:00"/>
    <n v="12"/>
    <x v="2"/>
    <x v="0"/>
    <s v="Midium"/>
  </r>
  <r>
    <x v="1"/>
    <x v="3"/>
    <x v="3"/>
    <s v="Medium"/>
    <n v="245"/>
    <s v="$120.00"/>
    <n v="15"/>
    <s v="$3,675.00"/>
    <s v="$330.75"/>
    <n v="3344.25"/>
    <s v="$2,450.00"/>
    <n v="894.25"/>
    <d v="2014-05-01T00:00:00"/>
    <n v="5"/>
    <x v="11"/>
    <x v="0"/>
    <s v="Small"/>
  </r>
  <r>
    <x v="4"/>
    <x v="0"/>
    <x v="3"/>
    <s v="Medium"/>
    <n v="3793.5"/>
    <s v="$120.00"/>
    <n v="300"/>
    <s v="$11,38,050.00"/>
    <s v="$1,02,424.50"/>
    <s v="10,35,625.50"/>
    <s v="$9,48,375.00"/>
    <n v="87250.5"/>
    <d v="2014-07-01T00:00:00"/>
    <n v="7"/>
    <x v="4"/>
    <x v="0"/>
    <s v="Large"/>
  </r>
  <r>
    <x v="0"/>
    <x v="1"/>
    <x v="3"/>
    <s v="Medium"/>
    <n v="1307"/>
    <s v="$120.00"/>
    <n v="350"/>
    <s v="$4,57,450.00"/>
    <s v="$41,170.50"/>
    <s v="4,16,279.50"/>
    <s v="$3,39,820.00"/>
    <n v="76459.5"/>
    <d v="2014-07-01T00:00:00"/>
    <n v="7"/>
    <x v="4"/>
    <x v="0"/>
    <s v="Small"/>
  </r>
  <r>
    <x v="3"/>
    <x v="0"/>
    <x v="3"/>
    <s v="Medium"/>
    <n v="567"/>
    <s v="$120.00"/>
    <n v="125"/>
    <s v="$70,875.00"/>
    <s v="$6,378.75"/>
    <n v="64496.25"/>
    <s v="$68,040.00"/>
    <n v="3543.75"/>
    <d v="2014-09-01T00:00:00"/>
    <n v="9"/>
    <x v="6"/>
    <x v="0"/>
    <s v="Small"/>
  </r>
  <r>
    <x v="3"/>
    <x v="3"/>
    <x v="3"/>
    <s v="Medium"/>
    <n v="2110"/>
    <s v="$120.00"/>
    <n v="125"/>
    <s v="$2,63,750.00"/>
    <s v="$23,737.50"/>
    <s v="2,40,012.50"/>
    <s v="$2,53,200.00"/>
    <n v="13187.5"/>
    <d v="2014-09-01T00:00:00"/>
    <n v="9"/>
    <x v="6"/>
    <x v="0"/>
    <s v="Midium"/>
  </r>
  <r>
    <x v="0"/>
    <x v="0"/>
    <x v="3"/>
    <s v="Medium"/>
    <n v="1269"/>
    <s v="$120.00"/>
    <n v="350"/>
    <s v="$4,44,150.00"/>
    <s v="$39,973.50"/>
    <s v="4,04,176.50"/>
    <s v="$3,29,940.00"/>
    <n v="74236.5"/>
    <d v="2014-10-01T00:00:00"/>
    <n v="10"/>
    <x v="7"/>
    <x v="0"/>
    <s v="Small"/>
  </r>
  <r>
    <x v="2"/>
    <x v="4"/>
    <x v="4"/>
    <s v="Medium"/>
    <n v="1956"/>
    <s v="$250.00"/>
    <n v="12"/>
    <s v="$23,472.00"/>
    <s v="$2,112.48"/>
    <n v="21359.52"/>
    <s v="$5,868.00"/>
    <n v="15491.52"/>
    <d v="2014-01-01T00:00:00"/>
    <n v="1"/>
    <x v="0"/>
    <x v="0"/>
    <s v="Midium"/>
  </r>
  <r>
    <x v="4"/>
    <x v="1"/>
    <x v="4"/>
    <s v="Medium"/>
    <n v="2659"/>
    <s v="$250.00"/>
    <n v="300"/>
    <s v="$7,97,700.00"/>
    <s v="$71,793.00"/>
    <s v="7,25,907.00"/>
    <s v="$6,64,750.00"/>
    <n v="61157"/>
    <d v="2014-02-01T00:00:00"/>
    <n v="2"/>
    <x v="8"/>
    <x v="0"/>
    <s v="Midium"/>
  </r>
  <r>
    <x v="0"/>
    <x v="4"/>
    <x v="4"/>
    <s v="Medium"/>
    <n v="1351.5"/>
    <s v="$250.00"/>
    <n v="350"/>
    <s v="$4,73,025.00"/>
    <s v="$42,572.25"/>
    <s v="4,30,452.75"/>
    <s v="$3,51,390.00"/>
    <n v="79062.75"/>
    <d v="2014-04-01T00:00:00"/>
    <n v="4"/>
    <x v="10"/>
    <x v="0"/>
    <s v="Small"/>
  </r>
  <r>
    <x v="2"/>
    <x v="1"/>
    <x v="4"/>
    <s v="Medium"/>
    <n v="880"/>
    <s v="$250.00"/>
    <n v="12"/>
    <s v="$10,560.00"/>
    <s v="$950.40"/>
    <n v="9609.6"/>
    <s v="$2,640.00"/>
    <n v="6969.6"/>
    <d v="2014-05-01T00:00:00"/>
    <n v="5"/>
    <x v="11"/>
    <x v="0"/>
    <s v="Small"/>
  </r>
  <r>
    <x v="4"/>
    <x v="4"/>
    <x v="4"/>
    <s v="Medium"/>
    <n v="1867"/>
    <s v="$250.00"/>
    <n v="300"/>
    <s v="$5,60,100.00"/>
    <s v="$50,409.00"/>
    <s v="5,09,691.00"/>
    <s v="$4,66,750.00"/>
    <n v="42941"/>
    <d v="2014-09-01T00:00:00"/>
    <n v="9"/>
    <x v="6"/>
    <x v="0"/>
    <s v="Midium"/>
  </r>
  <r>
    <x v="2"/>
    <x v="2"/>
    <x v="4"/>
    <s v="Medium"/>
    <n v="2234"/>
    <s v="$250.00"/>
    <n v="12"/>
    <s v="$26,808.00"/>
    <s v="$2,412.72"/>
    <n v="24395.279999999999"/>
    <s v="$6,702.00"/>
    <n v="17693.28"/>
    <d v="2013-09-01T00:00:00"/>
    <n v="9"/>
    <x v="6"/>
    <x v="1"/>
    <s v="Midium"/>
  </r>
  <r>
    <x v="1"/>
    <x v="2"/>
    <x v="4"/>
    <s v="Medium"/>
    <n v="1227"/>
    <s v="$250.00"/>
    <n v="15"/>
    <s v="$18,405.00"/>
    <s v="$1,656.45"/>
    <n v="16748.55"/>
    <s v="$12,270.00"/>
    <n v="4478.55"/>
    <d v="2014-10-01T00:00:00"/>
    <n v="10"/>
    <x v="7"/>
    <x v="0"/>
    <s v="Small"/>
  </r>
  <r>
    <x v="3"/>
    <x v="3"/>
    <x v="4"/>
    <s v="Medium"/>
    <n v="877"/>
    <s v="$250.00"/>
    <n v="125"/>
    <s v="$1,09,625.00"/>
    <s v="$9,866.25"/>
    <n v="99758.75"/>
    <s v="$1,05,240.00"/>
    <n v="5481.25"/>
    <d v="2014-11-01T00:00:00"/>
    <n v="11"/>
    <x v="9"/>
    <x v="0"/>
    <s v="Small"/>
  </r>
  <r>
    <x v="0"/>
    <x v="4"/>
    <x v="5"/>
    <s v="Medium"/>
    <n v="2071"/>
    <s v="$260.00"/>
    <n v="350"/>
    <s v="$7,24,850.00"/>
    <s v="$65,236.50"/>
    <s v="6,59,613.50"/>
    <s v="$5,38,460.00"/>
    <s v="1,21,153.50"/>
    <d v="2014-09-01T00:00:00"/>
    <n v="9"/>
    <x v="6"/>
    <x v="0"/>
    <s v="Midium"/>
  </r>
  <r>
    <x v="0"/>
    <x v="0"/>
    <x v="5"/>
    <s v="Medium"/>
    <n v="1269"/>
    <s v="$260.00"/>
    <n v="350"/>
    <s v="$4,44,150.00"/>
    <s v="$39,973.50"/>
    <s v="4,04,176.50"/>
    <s v="$3,29,940.00"/>
    <n v="74236.5"/>
    <d v="2014-10-01T00:00:00"/>
    <n v="10"/>
    <x v="7"/>
    <x v="0"/>
    <s v="Small"/>
  </r>
  <r>
    <x v="1"/>
    <x v="1"/>
    <x v="5"/>
    <s v="Medium"/>
    <n v="970"/>
    <s v="$260.00"/>
    <n v="15"/>
    <s v="$14,550.00"/>
    <s v="$1,309.50"/>
    <n v="13240.5"/>
    <s v="$9,700.00"/>
    <n v="3540.5"/>
    <d v="2013-11-01T00:00:00"/>
    <n v="11"/>
    <x v="9"/>
    <x v="1"/>
    <s v="Small"/>
  </r>
  <r>
    <x v="0"/>
    <x v="3"/>
    <x v="5"/>
    <s v="Medium"/>
    <n v="1694"/>
    <s v="$260.00"/>
    <n v="20"/>
    <s v="$33,880.00"/>
    <s v="$3,049.20"/>
    <n v="30830.799999999999"/>
    <s v="$16,940.00"/>
    <n v="13890.8"/>
    <d v="2014-11-01T00:00:00"/>
    <n v="11"/>
    <x v="9"/>
    <x v="0"/>
    <s v="Midium"/>
  </r>
  <r>
    <x v="0"/>
    <x v="1"/>
    <x v="0"/>
    <s v="Medium"/>
    <n v="663"/>
    <s v="$3.00"/>
    <n v="20"/>
    <s v="$13,260.00"/>
    <s v="$1,193.40"/>
    <n v="12066.6"/>
    <s v="$6,630.00"/>
    <n v="5436.6"/>
    <d v="2014-05-01T00:00:00"/>
    <n v="5"/>
    <x v="11"/>
    <x v="0"/>
    <s v="Small"/>
  </r>
  <r>
    <x v="0"/>
    <x v="0"/>
    <x v="0"/>
    <s v="Medium"/>
    <n v="819"/>
    <s v="$3.00"/>
    <n v="7"/>
    <s v="$5,733.00"/>
    <s v="$515.97"/>
    <n v="5217.03"/>
    <s v="$4,095.00"/>
    <n v="1122.03"/>
    <d v="2014-07-01T00:00:00"/>
    <n v="7"/>
    <x v="4"/>
    <x v="0"/>
    <s v="Small"/>
  </r>
  <r>
    <x v="2"/>
    <x v="1"/>
    <x v="0"/>
    <s v="Medium"/>
    <n v="1580"/>
    <s v="$3.00"/>
    <n v="12"/>
    <s v="$18,960.00"/>
    <s v="$1,706.40"/>
    <n v="17253.599999999999"/>
    <s v="$4,740.00"/>
    <n v="12513.6"/>
    <d v="2014-09-01T00:00:00"/>
    <n v="9"/>
    <x v="6"/>
    <x v="0"/>
    <s v="Midium"/>
  </r>
  <r>
    <x v="0"/>
    <x v="3"/>
    <x v="0"/>
    <s v="Medium"/>
    <n v="521"/>
    <s v="$3.00"/>
    <n v="7"/>
    <s v="$3,647.00"/>
    <s v="$328.23"/>
    <n v="3318.77"/>
    <s v="$2,605.00"/>
    <n v="713.77"/>
    <d v="2014-12-01T00:00:00"/>
    <n v="12"/>
    <x v="2"/>
    <x v="0"/>
    <s v="Small"/>
  </r>
  <r>
    <x v="0"/>
    <x v="4"/>
    <x v="2"/>
    <s v="Medium"/>
    <n v="973"/>
    <s v="$10.00"/>
    <n v="20"/>
    <s v="$19,460.00"/>
    <s v="$1,751.40"/>
    <n v="17708.599999999999"/>
    <s v="$9,730.00"/>
    <n v="7978.6"/>
    <d v="2014-03-01T00:00:00"/>
    <n v="3"/>
    <x v="3"/>
    <x v="0"/>
    <s v="Small"/>
  </r>
  <r>
    <x v="0"/>
    <x v="3"/>
    <x v="2"/>
    <s v="Medium"/>
    <n v="1038"/>
    <s v="$10.00"/>
    <n v="20"/>
    <s v="$20,760.00"/>
    <s v="$1,868.40"/>
    <n v="18891.599999999999"/>
    <s v="$10,380.00"/>
    <n v="8511.6"/>
    <d v="2014-06-01T00:00:00"/>
    <n v="6"/>
    <x v="1"/>
    <x v="0"/>
    <s v="Small"/>
  </r>
  <r>
    <x v="0"/>
    <x v="1"/>
    <x v="2"/>
    <s v="Medium"/>
    <n v="360"/>
    <s v="$10.00"/>
    <n v="7"/>
    <s v="$2,520.00"/>
    <s v="$226.80"/>
    <n v="2293.1999999999998"/>
    <s v="$1,800.00"/>
    <n v="493.2"/>
    <d v="2014-10-01T00:00:00"/>
    <n v="10"/>
    <x v="7"/>
    <x v="0"/>
    <s v="Small"/>
  </r>
  <r>
    <x v="2"/>
    <x v="2"/>
    <x v="3"/>
    <s v="Medium"/>
    <n v="1967"/>
    <s v="$120.00"/>
    <n v="12"/>
    <s v="$23,604.00"/>
    <s v="$2,124.36"/>
    <n v="21479.64"/>
    <s v="$5,901.00"/>
    <n v="15578.64"/>
    <d v="2014-03-01T00:00:00"/>
    <n v="3"/>
    <x v="3"/>
    <x v="0"/>
    <s v="Midium"/>
  </r>
  <r>
    <x v="1"/>
    <x v="3"/>
    <x v="3"/>
    <s v="Medium"/>
    <n v="2628"/>
    <s v="$120.00"/>
    <n v="15"/>
    <s v="$39,420.00"/>
    <s v="$3,547.80"/>
    <n v="35872.199999999997"/>
    <s v="$26,280.00"/>
    <n v="9592.2000000000007"/>
    <d v="2014-04-01T00:00:00"/>
    <n v="4"/>
    <x v="10"/>
    <x v="0"/>
    <s v="Midium"/>
  </r>
  <r>
    <x v="0"/>
    <x v="1"/>
    <x v="4"/>
    <s v="Medium"/>
    <n v="360"/>
    <s v="$250.00"/>
    <n v="7"/>
    <s v="$2,520.00"/>
    <s v="$226.80"/>
    <n v="2293.1999999999998"/>
    <s v="$1,800.00"/>
    <n v="493.2"/>
    <d v="2014-10-01T00:00:00"/>
    <n v="10"/>
    <x v="7"/>
    <x v="0"/>
    <s v="Small"/>
  </r>
  <r>
    <x v="0"/>
    <x v="2"/>
    <x v="4"/>
    <s v="Medium"/>
    <n v="2682"/>
    <s v="$250.00"/>
    <n v="20"/>
    <s v="$53,640.00"/>
    <s v="$4,827.60"/>
    <n v="48812.4"/>
    <s v="$26,820.00"/>
    <n v="21992.400000000001"/>
    <d v="2013-11-01T00:00:00"/>
    <n v="11"/>
    <x v="9"/>
    <x v="1"/>
    <s v="Midium"/>
  </r>
  <r>
    <x v="0"/>
    <x v="3"/>
    <x v="4"/>
    <s v="Medium"/>
    <n v="521"/>
    <s v="$250.00"/>
    <n v="7"/>
    <s v="$3,647.00"/>
    <s v="$328.23"/>
    <n v="3318.77"/>
    <s v="$2,605.00"/>
    <n v="713.77"/>
    <d v="2014-12-01T00:00:00"/>
    <n v="12"/>
    <x v="2"/>
    <x v="0"/>
    <s v="Small"/>
  </r>
  <r>
    <x v="0"/>
    <x v="3"/>
    <x v="5"/>
    <s v="Medium"/>
    <n v="1038"/>
    <s v="$260.00"/>
    <n v="20"/>
    <s v="$20,760.00"/>
    <s v="$1,868.40"/>
    <n v="18891.599999999999"/>
    <s v="$10,380.00"/>
    <n v="8511.6"/>
    <d v="2014-06-01T00:00:00"/>
    <n v="6"/>
    <x v="1"/>
    <x v="0"/>
    <s v="Small"/>
  </r>
  <r>
    <x v="1"/>
    <x v="0"/>
    <x v="5"/>
    <s v="Medium"/>
    <n v="1630.5"/>
    <s v="$260.00"/>
    <n v="15"/>
    <s v="$24,457.50"/>
    <s v="$2,201.18"/>
    <n v="22256.33"/>
    <s v="$16,305.00"/>
    <n v="5951.33"/>
    <d v="2014-07-01T00:00:00"/>
    <n v="7"/>
    <x v="4"/>
    <x v="0"/>
    <s v="Midium"/>
  </r>
  <r>
    <x v="2"/>
    <x v="2"/>
    <x v="5"/>
    <s v="Medium"/>
    <n v="306"/>
    <s v="$260.00"/>
    <n v="12"/>
    <s v="$3,672.00"/>
    <s v="$330.48"/>
    <n v="3341.52"/>
    <s v="$918.00"/>
    <n v="2423.52"/>
    <d v="2013-12-01T00:00:00"/>
    <n v="12"/>
    <x v="2"/>
    <x v="1"/>
    <s v="Small"/>
  </r>
  <r>
    <x v="2"/>
    <x v="4"/>
    <x v="0"/>
    <s v="High"/>
    <n v="386"/>
    <s v="$3.00"/>
    <n v="12"/>
    <s v="$4,632.00"/>
    <s v="$463.20"/>
    <n v="4168.8"/>
    <s v="$1,158.00"/>
    <n v="3010.8"/>
    <d v="2013-10-01T00:00:00"/>
    <n v="10"/>
    <x v="7"/>
    <x v="1"/>
    <s v="Small"/>
  </r>
  <r>
    <x v="0"/>
    <x v="4"/>
    <x v="1"/>
    <s v="High"/>
    <n v="2328"/>
    <s v="$5.00"/>
    <n v="7"/>
    <s v="$16,296.00"/>
    <s v="$1,629.60"/>
    <n v="14666.4"/>
    <s v="$11,640.00"/>
    <n v="3026.4"/>
    <d v="2014-09-01T00:00:00"/>
    <n v="9"/>
    <x v="6"/>
    <x v="0"/>
    <s v="Midium"/>
  </r>
  <r>
    <x v="2"/>
    <x v="4"/>
    <x v="2"/>
    <s v="High"/>
    <n v="386"/>
    <s v="$10.00"/>
    <n v="12"/>
    <s v="$4,632.00"/>
    <s v="$463.20"/>
    <n v="4168.8"/>
    <s v="$1,158.00"/>
    <n v="3010.8"/>
    <d v="2013-10-01T00:00:00"/>
    <n v="10"/>
    <x v="7"/>
    <x v="1"/>
    <s v="Small"/>
  </r>
  <r>
    <x v="3"/>
    <x v="4"/>
    <x v="0"/>
    <s v="High"/>
    <n v="3445.5"/>
    <s v="$3.00"/>
    <n v="125"/>
    <s v="$4,30,687.50"/>
    <s v="$43,068.75"/>
    <s v="3,87,618.75"/>
    <s v="$4,13,460.00"/>
    <n v="25841.25"/>
    <d v="2014-04-01T00:00:00"/>
    <n v="4"/>
    <x v="10"/>
    <x v="0"/>
    <s v="Large"/>
  </r>
  <r>
    <x v="3"/>
    <x v="2"/>
    <x v="0"/>
    <s v="High"/>
    <n v="1482"/>
    <s v="$3.00"/>
    <n v="125"/>
    <s v="$1,85,250.00"/>
    <s v="$18,525.00"/>
    <s v="1,66,725.00"/>
    <s v="$1,77,840.00"/>
    <n v="11115"/>
    <d v="2013-12-01T00:00:00"/>
    <n v="12"/>
    <x v="2"/>
    <x v="1"/>
    <s v="Small"/>
  </r>
  <r>
    <x v="0"/>
    <x v="4"/>
    <x v="1"/>
    <s v="High"/>
    <n v="2313"/>
    <s v="$5.00"/>
    <n v="350"/>
    <s v="$8,09,550.00"/>
    <s v="$80,955.00"/>
    <s v="7,28,595.00"/>
    <s v="$6,01,380.00"/>
    <s v="1,27,215.00"/>
    <d v="2014-05-01T00:00:00"/>
    <n v="5"/>
    <x v="11"/>
    <x v="0"/>
    <s v="Midium"/>
  </r>
  <r>
    <x v="3"/>
    <x v="4"/>
    <x v="1"/>
    <s v="High"/>
    <n v="1804"/>
    <s v="$5.00"/>
    <n v="125"/>
    <s v="$2,25,500.00"/>
    <s v="$22,550.00"/>
    <s v="2,02,950.00"/>
    <s v="$2,16,480.00"/>
    <n v="13530"/>
    <d v="2013-11-01T00:00:00"/>
    <n v="11"/>
    <x v="9"/>
    <x v="1"/>
    <s v="Midium"/>
  </r>
  <r>
    <x v="1"/>
    <x v="2"/>
    <x v="1"/>
    <s v="High"/>
    <n v="2072"/>
    <s v="$5.00"/>
    <n v="15"/>
    <s v="$31,080.00"/>
    <s v="$3,108.00"/>
    <n v="27972"/>
    <s v="$20,720.00"/>
    <n v="7252"/>
    <d v="2014-12-01T00:00:00"/>
    <n v="12"/>
    <x v="2"/>
    <x v="0"/>
    <s v="Midium"/>
  </r>
  <r>
    <x v="0"/>
    <x v="2"/>
    <x v="2"/>
    <s v="High"/>
    <n v="1954"/>
    <s v="$10.00"/>
    <n v="20"/>
    <s v="$39,080.00"/>
    <s v="$3,908.00"/>
    <n v="35172"/>
    <s v="$19,540.00"/>
    <n v="15632"/>
    <d v="2014-03-01T00:00:00"/>
    <n v="3"/>
    <x v="3"/>
    <x v="0"/>
    <s v="Midium"/>
  </r>
  <r>
    <x v="4"/>
    <x v="3"/>
    <x v="2"/>
    <s v="High"/>
    <n v="591"/>
    <s v="$10.00"/>
    <n v="300"/>
    <s v="$1,77,300.00"/>
    <s v="$17,730.00"/>
    <s v="1,59,570.00"/>
    <s v="$1,47,750.00"/>
    <n v="11820"/>
    <d v="2014-05-01T00:00:00"/>
    <n v="5"/>
    <x v="11"/>
    <x v="0"/>
    <s v="Small"/>
  </r>
  <r>
    <x v="1"/>
    <x v="2"/>
    <x v="2"/>
    <s v="High"/>
    <n v="2167"/>
    <s v="$10.00"/>
    <n v="15"/>
    <s v="$32,505.00"/>
    <s v="$3,250.50"/>
    <n v="29254.5"/>
    <s v="$21,670.00"/>
    <n v="7584.5"/>
    <d v="2013-10-01T00:00:00"/>
    <n v="10"/>
    <x v="7"/>
    <x v="1"/>
    <s v="Midium"/>
  </r>
  <r>
    <x v="0"/>
    <x v="1"/>
    <x v="2"/>
    <s v="High"/>
    <n v="241"/>
    <s v="$10.00"/>
    <n v="20"/>
    <s v="$4,820.00"/>
    <s v="$482.00"/>
    <n v="4338"/>
    <s v="$2,410.00"/>
    <n v="1928"/>
    <d v="2014-10-01T00:00:00"/>
    <n v="10"/>
    <x v="7"/>
    <x v="0"/>
    <s v="Small"/>
  </r>
  <r>
    <x v="1"/>
    <x v="1"/>
    <x v="3"/>
    <s v="High"/>
    <n v="681"/>
    <s v="$120.00"/>
    <n v="15"/>
    <s v="$10,215.00"/>
    <s v="$1,021.50"/>
    <n v="9193.5"/>
    <s v="$6,810.00"/>
    <n v="2383.5"/>
    <d v="2014-01-01T00:00:00"/>
    <n v="1"/>
    <x v="0"/>
    <x v="0"/>
    <s v="Small"/>
  </r>
  <r>
    <x v="1"/>
    <x v="1"/>
    <x v="3"/>
    <s v="High"/>
    <n v="510"/>
    <s v="$120.00"/>
    <n v="15"/>
    <s v="$7,650.00"/>
    <s v="$765.00"/>
    <n v="6885"/>
    <s v="$5,100.00"/>
    <n v="1785"/>
    <d v="2014-04-01T00:00:00"/>
    <n v="4"/>
    <x v="10"/>
    <x v="0"/>
    <s v="Small"/>
  </r>
  <r>
    <x v="1"/>
    <x v="4"/>
    <x v="3"/>
    <s v="High"/>
    <n v="790"/>
    <s v="$120.00"/>
    <n v="15"/>
    <s v="$11,850.00"/>
    <s v="$1,185.00"/>
    <n v="10665"/>
    <s v="$7,900.00"/>
    <n v="2765"/>
    <d v="2014-05-01T00:00:00"/>
    <n v="5"/>
    <x v="11"/>
    <x v="0"/>
    <s v="Small"/>
  </r>
  <r>
    <x v="0"/>
    <x v="2"/>
    <x v="3"/>
    <s v="High"/>
    <n v="639"/>
    <s v="$120.00"/>
    <n v="350"/>
    <s v="$2,23,650.00"/>
    <s v="$22,365.00"/>
    <s v="2,01,285.00"/>
    <s v="$1,66,140.00"/>
    <n v="35145"/>
    <d v="2014-07-01T00:00:00"/>
    <n v="7"/>
    <x v="4"/>
    <x v="0"/>
    <s v="Small"/>
  </r>
  <r>
    <x v="3"/>
    <x v="4"/>
    <x v="3"/>
    <s v="High"/>
    <n v="1596"/>
    <s v="$120.00"/>
    <n v="125"/>
    <s v="$1,99,500.00"/>
    <s v="$19,950.00"/>
    <s v="1,79,550.00"/>
    <s v="$1,91,520.00"/>
    <n v="11970"/>
    <d v="2014-09-01T00:00:00"/>
    <n v="9"/>
    <x v="6"/>
    <x v="0"/>
    <s v="Midium"/>
  </r>
  <r>
    <x v="4"/>
    <x v="4"/>
    <x v="3"/>
    <s v="High"/>
    <n v="2294"/>
    <s v="$120.00"/>
    <n v="300"/>
    <s v="$6,88,200.00"/>
    <s v="$68,820.00"/>
    <s v="6,19,380.00"/>
    <s v="$5,73,500.00"/>
    <n v="45880"/>
    <d v="2013-10-01T00:00:00"/>
    <n v="10"/>
    <x v="7"/>
    <x v="1"/>
    <s v="Midium"/>
  </r>
  <r>
    <x v="0"/>
    <x v="1"/>
    <x v="3"/>
    <s v="High"/>
    <n v="241"/>
    <s v="$120.00"/>
    <n v="20"/>
    <s v="$4,820.00"/>
    <s v="$482.00"/>
    <n v="4338"/>
    <s v="$2,410.00"/>
    <n v="1928"/>
    <d v="2014-10-01T00:00:00"/>
    <n v="10"/>
    <x v="7"/>
    <x v="0"/>
    <s v="Small"/>
  </r>
  <r>
    <x v="0"/>
    <x v="1"/>
    <x v="3"/>
    <s v="High"/>
    <n v="2665"/>
    <s v="$120.00"/>
    <n v="7"/>
    <s v="$18,655.00"/>
    <s v="$1,865.50"/>
    <n v="16789.5"/>
    <s v="$13,325.00"/>
    <n v="3464.5"/>
    <d v="2014-11-01T00:00:00"/>
    <n v="11"/>
    <x v="9"/>
    <x v="0"/>
    <s v="Midium"/>
  </r>
  <r>
    <x v="3"/>
    <x v="0"/>
    <x v="3"/>
    <s v="High"/>
    <n v="1916"/>
    <s v="$120.00"/>
    <n v="125"/>
    <s v="$2,39,500.00"/>
    <s v="$23,950.00"/>
    <s v="2,15,550.00"/>
    <s v="$2,29,920.00"/>
    <n v="14370"/>
    <d v="2013-12-01T00:00:00"/>
    <n v="12"/>
    <x v="2"/>
    <x v="1"/>
    <s v="Midium"/>
  </r>
  <r>
    <x v="4"/>
    <x v="2"/>
    <x v="3"/>
    <s v="High"/>
    <n v="853"/>
    <s v="$120.00"/>
    <n v="300"/>
    <s v="$2,55,900.00"/>
    <s v="$25,590.00"/>
    <s v="2,30,310.00"/>
    <s v="$2,13,250.00"/>
    <n v="17060"/>
    <d v="2014-12-01T00:00:00"/>
    <n v="12"/>
    <x v="2"/>
    <x v="0"/>
    <s v="Small"/>
  </r>
  <r>
    <x v="3"/>
    <x v="3"/>
    <x v="4"/>
    <s v="High"/>
    <n v="341"/>
    <s v="$250.00"/>
    <n v="125"/>
    <s v="$42,625.00"/>
    <s v="$4,262.50"/>
    <n v="38362.5"/>
    <s v="$40,920.00"/>
    <n v="2557.5"/>
    <d v="2014-05-01T00:00:00"/>
    <n v="5"/>
    <x v="11"/>
    <x v="0"/>
    <s v="Small"/>
  </r>
  <r>
    <x v="1"/>
    <x v="3"/>
    <x v="4"/>
    <s v="High"/>
    <n v="641"/>
    <s v="$250.00"/>
    <n v="15"/>
    <s v="$9,615.00"/>
    <s v="$961.50"/>
    <n v="8653.5"/>
    <s v="$6,410.00"/>
    <n v="2243.5"/>
    <d v="2014-07-01T00:00:00"/>
    <n v="7"/>
    <x v="4"/>
    <x v="0"/>
    <s v="Small"/>
  </r>
  <r>
    <x v="0"/>
    <x v="4"/>
    <x v="4"/>
    <s v="High"/>
    <n v="2807"/>
    <s v="$250.00"/>
    <n v="350"/>
    <s v="$9,82,450.00"/>
    <s v="$98,245.00"/>
    <s v="8,84,205.00"/>
    <s v="$7,29,820.00"/>
    <s v="1,54,385.00"/>
    <d v="2014-08-01T00:00:00"/>
    <n v="8"/>
    <x v="5"/>
    <x v="0"/>
    <s v="Midium"/>
  </r>
  <r>
    <x v="4"/>
    <x v="3"/>
    <x v="4"/>
    <s v="High"/>
    <n v="432"/>
    <s v="$250.00"/>
    <n v="300"/>
    <s v="$1,29,600.00"/>
    <s v="$12,960.00"/>
    <s v="1,16,640.00"/>
    <s v="$1,08,000.00"/>
    <n v="8640"/>
    <d v="2014-09-01T00:00:00"/>
    <n v="9"/>
    <x v="6"/>
    <x v="0"/>
    <s v="Small"/>
  </r>
  <r>
    <x v="4"/>
    <x v="4"/>
    <x v="4"/>
    <s v="High"/>
    <n v="2294"/>
    <s v="$250.00"/>
    <n v="300"/>
    <s v="$6,88,200.00"/>
    <s v="$68,820.00"/>
    <s v="6,19,380.00"/>
    <s v="$5,73,500.00"/>
    <n v="45880"/>
    <d v="2013-10-01T00:00:00"/>
    <n v="10"/>
    <x v="7"/>
    <x v="1"/>
    <s v="Midium"/>
  </r>
  <r>
    <x v="1"/>
    <x v="2"/>
    <x v="4"/>
    <s v="High"/>
    <n v="2167"/>
    <s v="$250.00"/>
    <n v="15"/>
    <s v="$32,505.00"/>
    <s v="$3,250.50"/>
    <n v="29254.5"/>
    <s v="$21,670.00"/>
    <n v="7584.5"/>
    <d v="2013-10-01T00:00:00"/>
    <n v="10"/>
    <x v="7"/>
    <x v="1"/>
    <s v="Midium"/>
  </r>
  <r>
    <x v="3"/>
    <x v="0"/>
    <x v="4"/>
    <s v="High"/>
    <n v="2529"/>
    <s v="$250.00"/>
    <n v="125"/>
    <s v="$3,16,125.00"/>
    <s v="$31,612.50"/>
    <s v="2,84,512.50"/>
    <s v="$3,03,480.00"/>
    <n v="18967.5"/>
    <d v="2014-11-01T00:00:00"/>
    <n v="11"/>
    <x v="9"/>
    <x v="0"/>
    <s v="Midium"/>
  </r>
  <r>
    <x v="0"/>
    <x v="1"/>
    <x v="4"/>
    <s v="High"/>
    <n v="1870"/>
    <s v="$250.00"/>
    <n v="350"/>
    <s v="$6,54,500.00"/>
    <s v="$65,450.00"/>
    <s v="5,89,050.00"/>
    <s v="$4,86,200.00"/>
    <s v="1,02,850.00"/>
    <d v="2013-12-01T00:00:00"/>
    <n v="12"/>
    <x v="2"/>
    <x v="1"/>
    <s v="Midium"/>
  </r>
  <r>
    <x v="3"/>
    <x v="4"/>
    <x v="5"/>
    <s v="High"/>
    <n v="579"/>
    <s v="$260.00"/>
    <n v="125"/>
    <s v="$72,375.00"/>
    <s v="$7,237.50"/>
    <n v="65137.5"/>
    <s v="$69,480.00"/>
    <n v="4342.5"/>
    <d v="2014-01-01T00:00:00"/>
    <n v="1"/>
    <x v="0"/>
    <x v="0"/>
    <s v="Small"/>
  </r>
  <r>
    <x v="0"/>
    <x v="0"/>
    <x v="5"/>
    <s v="High"/>
    <n v="2240"/>
    <s v="$260.00"/>
    <n v="350"/>
    <s v="$7,84,000.00"/>
    <s v="$78,400.00"/>
    <s v="7,05,600.00"/>
    <s v="$5,82,400.00"/>
    <s v="1,23,200.00"/>
    <d v="2014-02-01T00:00:00"/>
    <n v="2"/>
    <x v="8"/>
    <x v="0"/>
    <s v="Midium"/>
  </r>
  <r>
    <x v="4"/>
    <x v="4"/>
    <x v="5"/>
    <s v="High"/>
    <n v="2993"/>
    <s v="$260.00"/>
    <n v="300"/>
    <s v="$8,97,900.00"/>
    <s v="$89,790.00"/>
    <s v="8,08,110.00"/>
    <s v="$7,48,250.00"/>
    <n v="59860"/>
    <d v="2014-03-01T00:00:00"/>
    <n v="3"/>
    <x v="3"/>
    <x v="0"/>
    <s v="Midium"/>
  </r>
  <r>
    <x v="2"/>
    <x v="0"/>
    <x v="5"/>
    <s v="High"/>
    <n v="3520.5"/>
    <s v="$260.00"/>
    <n v="12"/>
    <s v="$42,246.00"/>
    <s v="$4,224.60"/>
    <n v="38021.4"/>
    <s v="$10,561.50"/>
    <n v="27459.9"/>
    <d v="2014-04-01T00:00:00"/>
    <n v="4"/>
    <x v="10"/>
    <x v="0"/>
    <s v="Large"/>
  </r>
  <r>
    <x v="0"/>
    <x v="3"/>
    <x v="5"/>
    <s v="High"/>
    <n v="2039"/>
    <s v="$260.00"/>
    <n v="20"/>
    <s v="$40,780.00"/>
    <s v="$4,078.00"/>
    <n v="36702"/>
    <s v="$20,390.00"/>
    <n v="16312"/>
    <d v="2014-05-01T00:00:00"/>
    <n v="5"/>
    <x v="11"/>
    <x v="0"/>
    <s v="Midium"/>
  </r>
  <r>
    <x v="2"/>
    <x v="1"/>
    <x v="5"/>
    <s v="High"/>
    <n v="2574"/>
    <s v="$260.00"/>
    <n v="12"/>
    <s v="$30,888.00"/>
    <s v="$3,088.80"/>
    <n v="27799.200000000001"/>
    <s v="$7,722.00"/>
    <n v="20077.2"/>
    <d v="2014-08-01T00:00:00"/>
    <n v="8"/>
    <x v="5"/>
    <x v="0"/>
    <s v="Midium"/>
  </r>
  <r>
    <x v="0"/>
    <x v="0"/>
    <x v="5"/>
    <s v="High"/>
    <n v="707"/>
    <s v="$260.00"/>
    <n v="350"/>
    <s v="$2,47,450.00"/>
    <s v="$24,745.00"/>
    <s v="2,22,705.00"/>
    <s v="$1,83,820.00"/>
    <n v="38885"/>
    <d v="2014-09-01T00:00:00"/>
    <n v="9"/>
    <x v="6"/>
    <x v="0"/>
    <s v="Small"/>
  </r>
  <r>
    <x v="1"/>
    <x v="2"/>
    <x v="5"/>
    <s v="High"/>
    <n v="2072"/>
    <s v="$260.00"/>
    <n v="15"/>
    <s v="$31,080.00"/>
    <s v="$3,108.00"/>
    <n v="27972"/>
    <s v="$20,720.00"/>
    <n v="7252"/>
    <d v="2014-12-01T00:00:00"/>
    <n v="12"/>
    <x v="2"/>
    <x v="0"/>
    <s v="Midium"/>
  </r>
  <r>
    <x v="4"/>
    <x v="2"/>
    <x v="5"/>
    <s v="High"/>
    <n v="853"/>
    <s v="$260.00"/>
    <n v="300"/>
    <s v="$2,55,900.00"/>
    <s v="$25,590.00"/>
    <s v="2,30,310.00"/>
    <s v="$2,13,250.00"/>
    <n v="17060"/>
    <d v="2014-12-01T00:00:00"/>
    <n v="12"/>
    <x v="2"/>
    <x v="0"/>
    <s v="Small"/>
  </r>
  <r>
    <x v="2"/>
    <x v="2"/>
    <x v="0"/>
    <s v="High"/>
    <n v="1198"/>
    <s v="$3.00"/>
    <n v="12"/>
    <s v="$14,376.00"/>
    <s v="$1,581.36"/>
    <n v="12794.64"/>
    <s v="$3,594.00"/>
    <n v="9200.64"/>
    <d v="2013-10-01T00:00:00"/>
    <n v="10"/>
    <x v="7"/>
    <x v="1"/>
    <s v="Small"/>
  </r>
  <r>
    <x v="0"/>
    <x v="2"/>
    <x v="2"/>
    <s v="High"/>
    <n v="2532"/>
    <s v="$10.00"/>
    <n v="7"/>
    <s v="$17,724.00"/>
    <s v="$1,949.64"/>
    <n v="15774.36"/>
    <s v="$12,660.00"/>
    <n v="3114.36"/>
    <d v="2014-04-01T00:00:00"/>
    <n v="4"/>
    <x v="10"/>
    <x v="0"/>
    <s v="Midium"/>
  </r>
  <r>
    <x v="2"/>
    <x v="2"/>
    <x v="2"/>
    <s v="High"/>
    <n v="1198"/>
    <s v="$10.00"/>
    <n v="12"/>
    <s v="$14,376.00"/>
    <s v="$1,581.36"/>
    <n v="12794.64"/>
    <s v="$3,594.00"/>
    <n v="9200.64"/>
    <d v="2013-10-01T00:00:00"/>
    <n v="10"/>
    <x v="7"/>
    <x v="1"/>
    <s v="Small"/>
  </r>
  <r>
    <x v="1"/>
    <x v="0"/>
    <x v="3"/>
    <s v="High"/>
    <n v="384"/>
    <s v="$120.00"/>
    <n v="15"/>
    <s v="$5,760.00"/>
    <s v="$633.60"/>
    <n v="5126.3999999999996"/>
    <s v="$3,840.00"/>
    <n v="1286.4000000000001"/>
    <d v="2014-01-01T00:00:00"/>
    <n v="1"/>
    <x v="0"/>
    <x v="0"/>
    <s v="Small"/>
  </r>
  <r>
    <x v="2"/>
    <x v="1"/>
    <x v="3"/>
    <s v="High"/>
    <n v="472"/>
    <s v="$120.00"/>
    <n v="12"/>
    <s v="$5,664.00"/>
    <s v="$623.04"/>
    <n v="5040.96"/>
    <s v="$1,416.00"/>
    <n v="3624.96"/>
    <d v="2014-10-01T00:00:00"/>
    <n v="10"/>
    <x v="7"/>
    <x v="0"/>
    <s v="Small"/>
  </r>
  <r>
    <x v="0"/>
    <x v="4"/>
    <x v="4"/>
    <s v="High"/>
    <n v="1579"/>
    <s v="$250.00"/>
    <n v="7"/>
    <s v="$11,053.00"/>
    <s v="$1,215.83"/>
    <n v="9837.17"/>
    <s v="$7,895.00"/>
    <n v="1942.17"/>
    <d v="2014-03-01T00:00:00"/>
    <n v="3"/>
    <x v="3"/>
    <x v="0"/>
    <s v="Midium"/>
  </r>
  <r>
    <x v="2"/>
    <x v="3"/>
    <x v="4"/>
    <s v="High"/>
    <n v="1005"/>
    <s v="$250.00"/>
    <n v="12"/>
    <s v="$12,060.00"/>
    <s v="$1,326.60"/>
    <n v="10733.4"/>
    <s v="$3,015.00"/>
    <n v="7718.4"/>
    <d v="2013-09-01T00:00:00"/>
    <n v="9"/>
    <x v="6"/>
    <x v="1"/>
    <s v="Small"/>
  </r>
  <r>
    <x v="1"/>
    <x v="4"/>
    <x v="5"/>
    <s v="High"/>
    <n v="3199.5"/>
    <s v="$260.00"/>
    <n v="15"/>
    <s v="$47,992.50"/>
    <s v="$5,279.18"/>
    <n v="42713.33"/>
    <s v="$31,995.00"/>
    <n v="10718.33"/>
    <d v="2014-07-01T00:00:00"/>
    <n v="7"/>
    <x v="4"/>
    <x v="0"/>
    <s v="Large"/>
  </r>
  <r>
    <x v="2"/>
    <x v="1"/>
    <x v="5"/>
    <s v="High"/>
    <n v="472"/>
    <s v="$260.00"/>
    <n v="12"/>
    <s v="$5,664.00"/>
    <s v="$623.04"/>
    <n v="5040.96"/>
    <s v="$1,416.00"/>
    <n v="3624.96"/>
    <d v="2014-10-01T00:00:00"/>
    <n v="10"/>
    <x v="7"/>
    <x v="0"/>
    <s v="Small"/>
  </r>
  <r>
    <x v="2"/>
    <x v="0"/>
    <x v="0"/>
    <s v="High"/>
    <n v="1937"/>
    <s v="$3.00"/>
    <n v="12"/>
    <s v="$23,244.00"/>
    <s v="$2,556.84"/>
    <n v="20687.16"/>
    <s v="$5,811.00"/>
    <n v="14876.16"/>
    <d v="2014-02-01T00:00:00"/>
    <n v="2"/>
    <x v="8"/>
    <x v="0"/>
    <s v="Midium"/>
  </r>
  <r>
    <x v="0"/>
    <x v="1"/>
    <x v="0"/>
    <s v="High"/>
    <n v="792"/>
    <s v="$3.00"/>
    <n v="350"/>
    <s v="$2,77,200.00"/>
    <s v="$30,492.00"/>
    <s v="2,46,708.00"/>
    <s v="$2,05,920.00"/>
    <n v="40788"/>
    <d v="2014-03-01T00:00:00"/>
    <n v="3"/>
    <x v="3"/>
    <x v="0"/>
    <s v="Small"/>
  </r>
  <r>
    <x v="4"/>
    <x v="1"/>
    <x v="0"/>
    <s v="High"/>
    <n v="2811"/>
    <s v="$3.00"/>
    <n v="300"/>
    <s v="$8,43,300.00"/>
    <s v="$92,763.00"/>
    <s v="7,50,537.00"/>
    <s v="$7,02,750.00"/>
    <n v="47787"/>
    <d v="2014-07-01T00:00:00"/>
    <n v="7"/>
    <x v="4"/>
    <x v="0"/>
    <s v="Midium"/>
  </r>
  <r>
    <x v="3"/>
    <x v="2"/>
    <x v="0"/>
    <s v="High"/>
    <n v="2441"/>
    <s v="$3.00"/>
    <n v="125"/>
    <s v="$3,05,125.00"/>
    <s v="$33,563.75"/>
    <s v="2,71,561.25"/>
    <s v="$2,92,920.00"/>
    <n v="21358.75"/>
    <d v="2014-10-01T00:00:00"/>
    <n v="10"/>
    <x v="7"/>
    <x v="0"/>
    <s v="Midium"/>
  </r>
  <r>
    <x v="1"/>
    <x v="0"/>
    <x v="0"/>
    <s v="High"/>
    <n v="1560"/>
    <s v="$3.00"/>
    <n v="15"/>
    <s v="$23,400.00"/>
    <s v="$2,574.00"/>
    <n v="20826"/>
    <s v="$15,600.00"/>
    <n v="5226"/>
    <d v="2013-11-01T00:00:00"/>
    <n v="11"/>
    <x v="9"/>
    <x v="1"/>
    <s v="Midium"/>
  </r>
  <r>
    <x v="0"/>
    <x v="3"/>
    <x v="0"/>
    <s v="High"/>
    <n v="2706"/>
    <s v="$3.00"/>
    <n v="7"/>
    <s v="$18,942.00"/>
    <s v="$2,083.62"/>
    <n v="16858.38"/>
    <s v="$13,530.00"/>
    <n v="3328.38"/>
    <d v="2013-11-01T00:00:00"/>
    <n v="11"/>
    <x v="9"/>
    <x v="1"/>
    <s v="Midium"/>
  </r>
  <r>
    <x v="0"/>
    <x v="1"/>
    <x v="1"/>
    <s v="High"/>
    <n v="766"/>
    <s v="$5.00"/>
    <n v="350"/>
    <s v="$2,68,100.00"/>
    <s v="$29,491.00"/>
    <s v="2,38,609.00"/>
    <s v="$1,99,160.00"/>
    <n v="39449"/>
    <d v="2014-01-01T00:00:00"/>
    <n v="1"/>
    <x v="0"/>
    <x v="0"/>
    <s v="Small"/>
  </r>
  <r>
    <x v="0"/>
    <x v="1"/>
    <x v="1"/>
    <s v="High"/>
    <n v="2992"/>
    <s v="$5.00"/>
    <n v="20"/>
    <s v="$59,840.00"/>
    <s v="$6,582.40"/>
    <n v="53257.599999999999"/>
    <s v="$29,920.00"/>
    <n v="23337.599999999999"/>
    <d v="2013-10-01T00:00:00"/>
    <n v="10"/>
    <x v="7"/>
    <x v="1"/>
    <s v="Midium"/>
  </r>
  <r>
    <x v="1"/>
    <x v="3"/>
    <x v="1"/>
    <s v="High"/>
    <n v="2157"/>
    <s v="$5.00"/>
    <n v="15"/>
    <s v="$32,355.00"/>
    <s v="$3,559.05"/>
    <n v="28795.95"/>
    <s v="$21,570.00"/>
    <n v="7225.95"/>
    <d v="2014-12-01T00:00:00"/>
    <n v="12"/>
    <x v="2"/>
    <x v="0"/>
    <s v="Midium"/>
  </r>
  <r>
    <x v="4"/>
    <x v="0"/>
    <x v="2"/>
    <s v="High"/>
    <n v="873"/>
    <s v="$10.00"/>
    <n v="300"/>
    <s v="$2,61,900.00"/>
    <s v="$28,809.00"/>
    <s v="2,33,091.00"/>
    <s v="$2,18,250.00"/>
    <n v="14841"/>
    <d v="2014-01-01T00:00:00"/>
    <n v="1"/>
    <x v="0"/>
    <x v="0"/>
    <s v="Small"/>
  </r>
  <r>
    <x v="0"/>
    <x v="3"/>
    <x v="2"/>
    <s v="High"/>
    <n v="1122"/>
    <s v="$10.00"/>
    <n v="20"/>
    <s v="$22,440.00"/>
    <s v="$2,468.40"/>
    <n v="19971.599999999999"/>
    <s v="$11,220.00"/>
    <n v="8751.6"/>
    <d v="2014-03-01T00:00:00"/>
    <n v="3"/>
    <x v="3"/>
    <x v="0"/>
    <s v="Small"/>
  </r>
  <r>
    <x v="0"/>
    <x v="0"/>
    <x v="2"/>
    <s v="High"/>
    <n v="2104.5"/>
    <s v="$10.00"/>
    <n v="350"/>
    <s v="$7,36,575.00"/>
    <s v="$81,023.25"/>
    <s v="6,55,551.75"/>
    <s v="$5,47,170.00"/>
    <s v="1,08,381.75"/>
    <d v="2014-07-01T00:00:00"/>
    <n v="7"/>
    <x v="4"/>
    <x v="0"/>
    <s v="Midium"/>
  </r>
  <r>
    <x v="2"/>
    <x v="0"/>
    <x v="2"/>
    <s v="High"/>
    <n v="4026"/>
    <s v="$10.00"/>
    <n v="12"/>
    <s v="$48,312.00"/>
    <s v="$5,314.32"/>
    <n v="42997.68"/>
    <s v="$12,078.00"/>
    <n v="30919.68"/>
    <d v="2014-07-01T00:00:00"/>
    <n v="7"/>
    <x v="4"/>
    <x v="0"/>
    <s v="Large"/>
  </r>
  <r>
    <x v="2"/>
    <x v="2"/>
    <x v="2"/>
    <s v="High"/>
    <n v="2425.5"/>
    <s v="$10.00"/>
    <n v="12"/>
    <s v="$29,106.00"/>
    <s v="$3,201.66"/>
    <n v="25904.34"/>
    <s v="$7,276.50"/>
    <n v="18627.84"/>
    <d v="2014-07-01T00:00:00"/>
    <n v="7"/>
    <x v="4"/>
    <x v="0"/>
    <s v="Midium"/>
  </r>
  <r>
    <x v="0"/>
    <x v="0"/>
    <x v="2"/>
    <s v="High"/>
    <n v="2394"/>
    <s v="$10.00"/>
    <n v="20"/>
    <s v="$47,880.00"/>
    <s v="$5,266.80"/>
    <n v="42613.2"/>
    <s v="$23,940.00"/>
    <n v="18673.2"/>
    <d v="2014-08-01T00:00:00"/>
    <n v="8"/>
    <x v="5"/>
    <x v="0"/>
    <s v="Midium"/>
  </r>
  <r>
    <x v="1"/>
    <x v="3"/>
    <x v="2"/>
    <s v="High"/>
    <n v="1984"/>
    <s v="$10.00"/>
    <n v="15"/>
    <s v="$29,760.00"/>
    <s v="$3,273.60"/>
    <n v="26486.400000000001"/>
    <s v="$19,840.00"/>
    <n v="6646.4"/>
    <d v="2014-08-01T00:00:00"/>
    <n v="8"/>
    <x v="5"/>
    <x v="0"/>
    <s v="Midium"/>
  </r>
  <r>
    <x v="3"/>
    <x v="2"/>
    <x v="2"/>
    <s v="High"/>
    <n v="2441"/>
    <s v="$10.00"/>
    <n v="125"/>
    <s v="$3,05,125.00"/>
    <s v="$33,563.75"/>
    <s v="2,71,561.25"/>
    <s v="$2,92,920.00"/>
    <n v="21358.75"/>
    <d v="2014-10-01T00:00:00"/>
    <n v="10"/>
    <x v="7"/>
    <x v="0"/>
    <s v="Midium"/>
  </r>
  <r>
    <x v="0"/>
    <x v="1"/>
    <x v="2"/>
    <s v="High"/>
    <n v="2992"/>
    <s v="$10.00"/>
    <n v="20"/>
    <s v="$59,840.00"/>
    <s v="$6,582.40"/>
    <n v="53257.599999999999"/>
    <s v="$29,920.00"/>
    <n v="23337.599999999999"/>
    <d v="2013-10-01T00:00:00"/>
    <n v="10"/>
    <x v="7"/>
    <x v="1"/>
    <s v="Midium"/>
  </r>
  <r>
    <x v="4"/>
    <x v="0"/>
    <x v="2"/>
    <s v="High"/>
    <n v="1366"/>
    <s v="$10.00"/>
    <n v="300"/>
    <s v="$4,09,800.00"/>
    <s v="$45,078.00"/>
    <s v="3,64,722.00"/>
    <s v="$3,41,500.00"/>
    <n v="23222"/>
    <d v="2014-11-01T00:00:00"/>
    <n v="11"/>
    <x v="9"/>
    <x v="0"/>
    <s v="Small"/>
  </r>
  <r>
    <x v="0"/>
    <x v="2"/>
    <x v="3"/>
    <s v="High"/>
    <n v="2805"/>
    <s v="$120.00"/>
    <n v="20"/>
    <s v="$56,100.00"/>
    <s v="$6,171.00"/>
    <n v="49929"/>
    <s v="$28,050.00"/>
    <n v="21879"/>
    <d v="2013-09-01T00:00:00"/>
    <n v="9"/>
    <x v="6"/>
    <x v="1"/>
    <s v="Midium"/>
  </r>
  <r>
    <x v="1"/>
    <x v="3"/>
    <x v="3"/>
    <s v="High"/>
    <n v="655"/>
    <s v="$120.00"/>
    <n v="15"/>
    <s v="$9,825.00"/>
    <s v="$1,080.75"/>
    <n v="8744.25"/>
    <s v="$6,550.00"/>
    <n v="2194.25"/>
    <d v="2013-09-01T00:00:00"/>
    <n v="9"/>
    <x v="6"/>
    <x v="1"/>
    <s v="Small"/>
  </r>
  <r>
    <x v="0"/>
    <x v="3"/>
    <x v="3"/>
    <s v="High"/>
    <n v="344"/>
    <s v="$120.00"/>
    <n v="350"/>
    <s v="$1,20,400.00"/>
    <s v="$13,244.00"/>
    <s v="1,07,156.00"/>
    <s v="$89,440.00"/>
    <n v="17716"/>
    <d v="2013-10-01T00:00:00"/>
    <n v="10"/>
    <x v="7"/>
    <x v="1"/>
    <s v="Small"/>
  </r>
  <r>
    <x v="0"/>
    <x v="0"/>
    <x v="3"/>
    <s v="High"/>
    <n v="1808"/>
    <s v="$120.00"/>
    <n v="7"/>
    <s v="$12,656.00"/>
    <s v="$1,392.16"/>
    <n v="11263.84"/>
    <s v="$9,040.00"/>
    <n v="2223.84"/>
    <d v="2014-11-01T00:00:00"/>
    <n v="11"/>
    <x v="9"/>
    <x v="0"/>
    <s v="Midium"/>
  </r>
  <r>
    <x v="2"/>
    <x v="2"/>
    <x v="4"/>
    <s v="High"/>
    <n v="1734"/>
    <s v="$250.00"/>
    <n v="12"/>
    <s v="$20,808.00"/>
    <s v="$2,288.88"/>
    <n v="18519.12"/>
    <s v="$5,202.00"/>
    <n v="13317.12"/>
    <d v="2014-01-01T00:00:00"/>
    <n v="1"/>
    <x v="0"/>
    <x v="0"/>
    <s v="Midium"/>
  </r>
  <r>
    <x v="3"/>
    <x v="3"/>
    <x v="4"/>
    <s v="High"/>
    <n v="554"/>
    <s v="$250.00"/>
    <n v="125"/>
    <s v="$69,250.00"/>
    <s v="$7,617.50"/>
    <n v="61632.5"/>
    <s v="$66,480.00"/>
    <n v="4847.5"/>
    <d v="2014-01-01T00:00:00"/>
    <n v="1"/>
    <x v="0"/>
    <x v="0"/>
    <s v="Small"/>
  </r>
  <r>
    <x v="0"/>
    <x v="0"/>
    <x v="4"/>
    <s v="High"/>
    <n v="2935"/>
    <s v="$250.00"/>
    <n v="20"/>
    <s v="$58,700.00"/>
    <s v="$6,457.00"/>
    <n v="52243"/>
    <s v="$29,350.00"/>
    <n v="22893"/>
    <d v="2013-11-01T00:00:00"/>
    <n v="11"/>
    <x v="9"/>
    <x v="1"/>
    <s v="Midium"/>
  </r>
  <r>
    <x v="3"/>
    <x v="1"/>
    <x v="5"/>
    <s v="High"/>
    <n v="3165"/>
    <s v="$260.00"/>
    <n v="125"/>
    <s v="$3,95,625.00"/>
    <s v="$43,518.75"/>
    <s v="3,52,106.25"/>
    <s v="$3,79,800.00"/>
    <n v="27693.75"/>
    <d v="2014-01-01T00:00:00"/>
    <n v="1"/>
    <x v="0"/>
    <x v="0"/>
    <s v="Large"/>
  </r>
  <r>
    <x v="0"/>
    <x v="3"/>
    <x v="5"/>
    <s v="High"/>
    <n v="2629"/>
    <s v="$260.00"/>
    <n v="20"/>
    <s v="$52,580.00"/>
    <s v="$5,783.80"/>
    <n v="46796.2"/>
    <s v="$26,290.00"/>
    <n v="20506.2"/>
    <d v="2014-01-01T00:00:00"/>
    <n v="1"/>
    <x v="0"/>
    <x v="0"/>
    <s v="Midium"/>
  </r>
  <r>
    <x v="3"/>
    <x v="2"/>
    <x v="5"/>
    <s v="High"/>
    <n v="1433"/>
    <s v="$260.00"/>
    <n v="125"/>
    <s v="$1,79,125.00"/>
    <s v="$19,703.75"/>
    <s v="1,59,421.25"/>
    <s v="$1,71,960.00"/>
    <n v="12538.75"/>
    <d v="2014-05-01T00:00:00"/>
    <n v="5"/>
    <x v="11"/>
    <x v="0"/>
    <s v="Small"/>
  </r>
  <r>
    <x v="3"/>
    <x v="3"/>
    <x v="5"/>
    <s v="High"/>
    <n v="947"/>
    <s v="$260.00"/>
    <n v="125"/>
    <s v="$1,18,375.00"/>
    <s v="$13,021.25"/>
    <s v="1,05,353.75"/>
    <s v="$1,13,640.00"/>
    <n v="8286.25"/>
    <d v="2013-09-01T00:00:00"/>
    <n v="9"/>
    <x v="6"/>
    <x v="1"/>
    <s v="Small"/>
  </r>
  <r>
    <x v="0"/>
    <x v="3"/>
    <x v="5"/>
    <s v="High"/>
    <n v="344"/>
    <s v="$260.00"/>
    <n v="350"/>
    <s v="$1,20,400.00"/>
    <s v="$13,244.00"/>
    <s v="1,07,156.00"/>
    <s v="$89,440.00"/>
    <n v="17716"/>
    <d v="2013-10-01T00:00:00"/>
    <n v="10"/>
    <x v="7"/>
    <x v="1"/>
    <s v="Small"/>
  </r>
  <r>
    <x v="1"/>
    <x v="3"/>
    <x v="5"/>
    <s v="High"/>
    <n v="2157"/>
    <s v="$260.00"/>
    <n v="15"/>
    <s v="$32,355.00"/>
    <s v="$3,559.05"/>
    <n v="28795.95"/>
    <s v="$21,570.00"/>
    <n v="7225.95"/>
    <d v="2014-12-01T00:00:00"/>
    <n v="12"/>
    <x v="2"/>
    <x v="0"/>
    <s v="Midium"/>
  </r>
  <r>
    <x v="0"/>
    <x v="4"/>
    <x v="2"/>
    <s v="High"/>
    <n v="380"/>
    <s v="$10.00"/>
    <n v="7"/>
    <s v="$2,660.00"/>
    <s v="$292.60"/>
    <n v="2367.4"/>
    <s v="$1,900.00"/>
    <n v="467.4"/>
    <d v="2013-09-01T00:00:00"/>
    <n v="9"/>
    <x v="6"/>
    <x v="1"/>
    <s v="Small"/>
  </r>
  <r>
    <x v="0"/>
    <x v="3"/>
    <x v="0"/>
    <s v="High"/>
    <n v="886"/>
    <s v="$3.00"/>
    <n v="350"/>
    <s v="$3,10,100.00"/>
    <s v="$37,212.00"/>
    <s v="2,72,888.00"/>
    <s v="$2,30,360.00"/>
    <n v="42528"/>
    <d v="2014-06-01T00:00:00"/>
    <n v="6"/>
    <x v="1"/>
    <x v="0"/>
    <s v="Small"/>
  </r>
  <r>
    <x v="3"/>
    <x v="0"/>
    <x v="0"/>
    <s v="High"/>
    <n v="2416"/>
    <s v="$3.00"/>
    <n v="125"/>
    <s v="$3,02,000.00"/>
    <s v="$36,240.00"/>
    <s v="2,65,760.00"/>
    <s v="$2,89,920.00"/>
    <n v="24160"/>
    <d v="2013-09-01T00:00:00"/>
    <n v="9"/>
    <x v="6"/>
    <x v="1"/>
    <s v="Midium"/>
  </r>
  <r>
    <x v="3"/>
    <x v="3"/>
    <x v="0"/>
    <s v="High"/>
    <n v="2156"/>
    <s v="$3.00"/>
    <n v="125"/>
    <s v="$2,69,500.00"/>
    <s v="$32,340.00"/>
    <s v="2,37,160.00"/>
    <s v="$2,58,720.00"/>
    <n v="21560"/>
    <d v="2014-10-01T00:00:00"/>
    <n v="10"/>
    <x v="7"/>
    <x v="0"/>
    <s v="Midium"/>
  </r>
  <r>
    <x v="1"/>
    <x v="0"/>
    <x v="0"/>
    <s v="High"/>
    <n v="2689"/>
    <s v="$3.00"/>
    <n v="15"/>
    <s v="$40,335.00"/>
    <s v="$4,840.20"/>
    <n v="35494.800000000003"/>
    <s v="$26,890.00"/>
    <n v="8604.7999999999993"/>
    <d v="2014-11-01T00:00:00"/>
    <n v="11"/>
    <x v="9"/>
    <x v="0"/>
    <s v="Midium"/>
  </r>
  <r>
    <x v="1"/>
    <x v="4"/>
    <x v="1"/>
    <s v="High"/>
    <n v="677"/>
    <s v="$5.00"/>
    <n v="15"/>
    <s v="$10,155.00"/>
    <s v="$1,218.60"/>
    <n v="8936.4"/>
    <s v="$6,770.00"/>
    <n v="2166.4"/>
    <d v="2014-03-01T00:00:00"/>
    <n v="3"/>
    <x v="3"/>
    <x v="0"/>
    <s v="Small"/>
  </r>
  <r>
    <x v="4"/>
    <x v="2"/>
    <x v="1"/>
    <s v="High"/>
    <n v="1773"/>
    <s v="$5.00"/>
    <n v="300"/>
    <s v="$5,31,900.00"/>
    <s v="$63,828.00"/>
    <s v="4,68,072.00"/>
    <s v="$4,43,250.00"/>
    <n v="24822"/>
    <d v="2014-04-01T00:00:00"/>
    <n v="4"/>
    <x v="10"/>
    <x v="0"/>
    <s v="Midium"/>
  </r>
  <r>
    <x v="0"/>
    <x v="3"/>
    <x v="1"/>
    <s v="High"/>
    <n v="2420"/>
    <s v="$5.00"/>
    <n v="7"/>
    <s v="$16,940.00"/>
    <s v="$2,032.80"/>
    <n v="14907.2"/>
    <s v="$12,100.00"/>
    <n v="2807.2"/>
    <d v="2014-09-01T00:00:00"/>
    <n v="9"/>
    <x v="6"/>
    <x v="0"/>
    <s v="Midium"/>
  </r>
  <r>
    <x v="0"/>
    <x v="0"/>
    <x v="1"/>
    <s v="High"/>
    <n v="2734"/>
    <s v="$5.00"/>
    <n v="7"/>
    <s v="$19,138.00"/>
    <s v="$2,296.56"/>
    <n v="16841.439999999999"/>
    <s v="$13,670.00"/>
    <n v="3171.44"/>
    <d v="2014-10-01T00:00:00"/>
    <n v="10"/>
    <x v="7"/>
    <x v="0"/>
    <s v="Midium"/>
  </r>
  <r>
    <x v="0"/>
    <x v="3"/>
    <x v="1"/>
    <s v="High"/>
    <n v="1715"/>
    <s v="$5.00"/>
    <n v="20"/>
    <s v="$34,300.00"/>
    <s v="$4,116.00"/>
    <n v="30184"/>
    <s v="$17,150.00"/>
    <n v="13034"/>
    <d v="2013-10-01T00:00:00"/>
    <n v="10"/>
    <x v="7"/>
    <x v="1"/>
    <s v="Midium"/>
  </r>
  <r>
    <x v="4"/>
    <x v="2"/>
    <x v="1"/>
    <s v="High"/>
    <n v="1186"/>
    <s v="$5.00"/>
    <n v="300"/>
    <s v="$3,55,800.00"/>
    <s v="$42,696.00"/>
    <s v="3,13,104.00"/>
    <s v="$2,96,500.00"/>
    <n v="16604"/>
    <d v="2013-12-01T00:00:00"/>
    <n v="12"/>
    <x v="2"/>
    <x v="1"/>
    <s v="Small"/>
  </r>
  <r>
    <x v="4"/>
    <x v="4"/>
    <x v="2"/>
    <s v="High"/>
    <n v="3495"/>
    <s v="$10.00"/>
    <n v="300"/>
    <s v="$10,48,500.00"/>
    <s v="$1,25,820.00"/>
    <s v="9,22,680.00"/>
    <s v="$8,73,750.00"/>
    <n v="48930"/>
    <d v="2014-01-01T00:00:00"/>
    <n v="1"/>
    <x v="0"/>
    <x v="0"/>
    <s v="Large"/>
  </r>
  <r>
    <x v="0"/>
    <x v="3"/>
    <x v="2"/>
    <s v="High"/>
    <n v="886"/>
    <s v="$10.00"/>
    <n v="350"/>
    <s v="$3,10,100.00"/>
    <s v="$37,212.00"/>
    <s v="2,72,888.00"/>
    <s v="$2,30,360.00"/>
    <n v="42528"/>
    <d v="2014-06-01T00:00:00"/>
    <n v="6"/>
    <x v="1"/>
    <x v="0"/>
    <s v="Small"/>
  </r>
  <r>
    <x v="3"/>
    <x v="3"/>
    <x v="2"/>
    <s v="High"/>
    <n v="2156"/>
    <s v="$10.00"/>
    <n v="125"/>
    <s v="$2,69,500.00"/>
    <s v="$32,340.00"/>
    <s v="2,37,160.00"/>
    <s v="$2,58,720.00"/>
    <n v="21560"/>
    <d v="2014-10-01T00:00:00"/>
    <n v="10"/>
    <x v="7"/>
    <x v="0"/>
    <s v="Midium"/>
  </r>
  <r>
    <x v="0"/>
    <x v="3"/>
    <x v="2"/>
    <s v="High"/>
    <n v="905"/>
    <s v="$10.00"/>
    <n v="20"/>
    <s v="$18,100.00"/>
    <s v="$2,172.00"/>
    <n v="15928"/>
    <s v="$9,050.00"/>
    <n v="6878"/>
    <d v="2014-10-01T00:00:00"/>
    <n v="10"/>
    <x v="7"/>
    <x v="0"/>
    <s v="Small"/>
  </r>
  <r>
    <x v="0"/>
    <x v="3"/>
    <x v="2"/>
    <s v="High"/>
    <n v="1715"/>
    <s v="$10.00"/>
    <n v="20"/>
    <s v="$34,300.00"/>
    <s v="$4,116.00"/>
    <n v="30184"/>
    <s v="$17,150.00"/>
    <n v="13034"/>
    <d v="2013-10-01T00:00:00"/>
    <n v="10"/>
    <x v="7"/>
    <x v="1"/>
    <s v="Midium"/>
  </r>
  <r>
    <x v="0"/>
    <x v="2"/>
    <x v="2"/>
    <s v="High"/>
    <n v="1594"/>
    <s v="$10.00"/>
    <n v="350"/>
    <s v="$5,57,900.00"/>
    <s v="$66,948.00"/>
    <s v="4,90,952.00"/>
    <s v="$4,14,440.00"/>
    <n v="76512"/>
    <d v="2014-11-01T00:00:00"/>
    <n v="11"/>
    <x v="9"/>
    <x v="0"/>
    <s v="Midium"/>
  </r>
  <r>
    <x v="4"/>
    <x v="1"/>
    <x v="2"/>
    <s v="High"/>
    <n v="1359"/>
    <s v="$10.00"/>
    <n v="300"/>
    <s v="$4,07,700.00"/>
    <s v="$48,924.00"/>
    <s v="3,58,776.00"/>
    <s v="$3,39,750.00"/>
    <n v="19026"/>
    <d v="2014-11-01T00:00:00"/>
    <n v="11"/>
    <x v="9"/>
    <x v="0"/>
    <s v="Small"/>
  </r>
  <r>
    <x v="4"/>
    <x v="3"/>
    <x v="2"/>
    <s v="High"/>
    <n v="2150"/>
    <s v="$10.00"/>
    <n v="300"/>
    <s v="$6,45,000.00"/>
    <s v="$77,400.00"/>
    <s v="5,67,600.00"/>
    <s v="$5,37,500.00"/>
    <n v="30100"/>
    <d v="2014-11-01T00:00:00"/>
    <n v="11"/>
    <x v="9"/>
    <x v="0"/>
    <s v="Midium"/>
  </r>
  <r>
    <x v="0"/>
    <x v="3"/>
    <x v="2"/>
    <s v="High"/>
    <n v="1197"/>
    <s v="$10.00"/>
    <n v="350"/>
    <s v="$4,18,950.00"/>
    <s v="$50,274.00"/>
    <s v="3,68,676.00"/>
    <s v="$3,11,220.00"/>
    <n v="57456"/>
    <d v="2014-11-01T00:00:00"/>
    <n v="11"/>
    <x v="9"/>
    <x v="0"/>
    <s v="Small"/>
  </r>
  <r>
    <x v="1"/>
    <x v="3"/>
    <x v="2"/>
    <s v="High"/>
    <n v="380"/>
    <s v="$10.00"/>
    <n v="15"/>
    <s v="$5,700.00"/>
    <s v="$684.00"/>
    <n v="5016"/>
    <s v="$3,800.00"/>
    <n v="1216"/>
    <d v="2013-12-01T00:00:00"/>
    <n v="12"/>
    <x v="2"/>
    <x v="1"/>
    <s v="Small"/>
  </r>
  <r>
    <x v="0"/>
    <x v="3"/>
    <x v="2"/>
    <s v="High"/>
    <n v="1233"/>
    <s v="$10.00"/>
    <n v="20"/>
    <s v="$24,660.00"/>
    <s v="$2,959.20"/>
    <n v="21700.799999999999"/>
    <s v="$12,330.00"/>
    <n v="9370.7999999999993"/>
    <d v="2014-12-01T00:00:00"/>
    <n v="12"/>
    <x v="2"/>
    <x v="0"/>
    <s v="Small"/>
  </r>
  <r>
    <x v="0"/>
    <x v="3"/>
    <x v="3"/>
    <s v="High"/>
    <n v="1395"/>
    <s v="$120.00"/>
    <n v="350"/>
    <s v="$4,88,250.00"/>
    <s v="$58,590.00"/>
    <s v="4,29,660.00"/>
    <s v="$3,62,700.00"/>
    <n v="66960"/>
    <d v="2014-07-01T00:00:00"/>
    <n v="7"/>
    <x v="4"/>
    <x v="0"/>
    <s v="Small"/>
  </r>
  <r>
    <x v="0"/>
    <x v="4"/>
    <x v="3"/>
    <s v="High"/>
    <n v="986"/>
    <s v="$120.00"/>
    <n v="350"/>
    <s v="$3,45,100.00"/>
    <s v="$41,412.00"/>
    <s v="3,03,688.00"/>
    <s v="$2,56,360.00"/>
    <n v="47328"/>
    <d v="2014-10-01T00:00:00"/>
    <n v="10"/>
    <x v="7"/>
    <x v="0"/>
    <s v="Small"/>
  </r>
  <r>
    <x v="0"/>
    <x v="3"/>
    <x v="3"/>
    <s v="High"/>
    <n v="905"/>
    <s v="$120.00"/>
    <n v="20"/>
    <s v="$18,100.00"/>
    <s v="$2,172.00"/>
    <n v="15928"/>
    <s v="$9,050.00"/>
    <n v="6878"/>
    <d v="2014-10-01T00:00:00"/>
    <n v="10"/>
    <x v="7"/>
    <x v="0"/>
    <s v="Small"/>
  </r>
  <r>
    <x v="2"/>
    <x v="0"/>
    <x v="4"/>
    <s v="High"/>
    <n v="2109"/>
    <s v="$250.00"/>
    <n v="12"/>
    <s v="$25,308.00"/>
    <s v="$3,036.96"/>
    <n v="22271.040000000001"/>
    <s v="$6,327.00"/>
    <n v="15944.04"/>
    <d v="2014-05-01T00:00:00"/>
    <n v="5"/>
    <x v="11"/>
    <x v="0"/>
    <s v="Midium"/>
  </r>
  <r>
    <x v="1"/>
    <x v="2"/>
    <x v="4"/>
    <s v="High"/>
    <n v="3874.5"/>
    <s v="$250.00"/>
    <n v="15"/>
    <s v="$58,117.50"/>
    <s v="$6,974.10"/>
    <n v="51143.4"/>
    <s v="$38,745.00"/>
    <n v="12398.4"/>
    <d v="2014-07-01T00:00:00"/>
    <n v="7"/>
    <x v="4"/>
    <x v="0"/>
    <s v="Large"/>
  </r>
  <r>
    <x v="0"/>
    <x v="0"/>
    <x v="4"/>
    <s v="High"/>
    <n v="623"/>
    <s v="$250.00"/>
    <n v="350"/>
    <s v="$2,18,050.00"/>
    <s v="$26,166.00"/>
    <s v="1,91,884.00"/>
    <s v="$1,61,980.00"/>
    <n v="29904"/>
    <d v="2013-09-01T00:00:00"/>
    <n v="9"/>
    <x v="6"/>
    <x v="1"/>
    <s v="Small"/>
  </r>
  <r>
    <x v="0"/>
    <x v="4"/>
    <x v="4"/>
    <s v="High"/>
    <n v="986"/>
    <s v="$250.00"/>
    <n v="350"/>
    <s v="$3,45,100.00"/>
    <s v="$41,412.00"/>
    <s v="3,03,688.00"/>
    <s v="$2,56,360.00"/>
    <n v="47328"/>
    <d v="2014-10-01T00:00:00"/>
    <n v="10"/>
    <x v="7"/>
    <x v="0"/>
    <s v="Small"/>
  </r>
  <r>
    <x v="3"/>
    <x v="4"/>
    <x v="4"/>
    <s v="High"/>
    <n v="2387"/>
    <s v="$250.00"/>
    <n v="125"/>
    <s v="$2,98,375.00"/>
    <s v="$35,805.00"/>
    <s v="2,62,570.00"/>
    <s v="$2,86,440.00"/>
    <n v="23870"/>
    <d v="2014-11-01T00:00:00"/>
    <n v="11"/>
    <x v="9"/>
    <x v="0"/>
    <s v="Midium"/>
  </r>
  <r>
    <x v="0"/>
    <x v="3"/>
    <x v="4"/>
    <s v="High"/>
    <n v="1233"/>
    <s v="$250.00"/>
    <n v="20"/>
    <s v="$24,660.00"/>
    <s v="$2,959.20"/>
    <n v="21700.799999999999"/>
    <s v="$12,330.00"/>
    <n v="9370.7999999999993"/>
    <d v="2014-12-01T00:00:00"/>
    <n v="12"/>
    <x v="2"/>
    <x v="0"/>
    <s v="Small"/>
  </r>
  <r>
    <x v="0"/>
    <x v="4"/>
    <x v="5"/>
    <s v="High"/>
    <n v="270"/>
    <s v="$260.00"/>
    <n v="350"/>
    <s v="$94,500.00"/>
    <s v="$11,340.00"/>
    <n v="83160"/>
    <s v="$70,200.00"/>
    <n v="12960"/>
    <d v="2014-02-01T00:00:00"/>
    <n v="2"/>
    <x v="8"/>
    <x v="0"/>
    <s v="Small"/>
  </r>
  <r>
    <x v="0"/>
    <x v="2"/>
    <x v="5"/>
    <s v="High"/>
    <n v="3421.5"/>
    <s v="$260.00"/>
    <n v="7"/>
    <s v="$23,950.50"/>
    <s v="$2,874.06"/>
    <n v="21076.44"/>
    <s v="$17,107.50"/>
    <n v="3968.94"/>
    <d v="2014-07-01T00:00:00"/>
    <n v="7"/>
    <x v="4"/>
    <x v="0"/>
    <s v="Large"/>
  </r>
  <r>
    <x v="0"/>
    <x v="0"/>
    <x v="5"/>
    <s v="High"/>
    <n v="2734"/>
    <s v="$260.00"/>
    <n v="7"/>
    <s v="$19,138.00"/>
    <s v="$2,296.56"/>
    <n v="16841.439999999999"/>
    <s v="$13,670.00"/>
    <n v="3171.44"/>
    <d v="2014-10-01T00:00:00"/>
    <n v="10"/>
    <x v="7"/>
    <x v="0"/>
    <s v="Midium"/>
  </r>
  <r>
    <x v="1"/>
    <x v="4"/>
    <x v="5"/>
    <s v="High"/>
    <n v="2548"/>
    <s v="$260.00"/>
    <n v="15"/>
    <s v="$38,220.00"/>
    <s v="$4,586.40"/>
    <n v="33633.599999999999"/>
    <s v="$25,480.00"/>
    <n v="8153.6"/>
    <d v="2013-11-01T00:00:00"/>
    <n v="11"/>
    <x v="9"/>
    <x v="1"/>
    <s v="Midium"/>
  </r>
  <r>
    <x v="0"/>
    <x v="2"/>
    <x v="0"/>
    <s v="High"/>
    <n v="2521.5"/>
    <s v="$3.00"/>
    <n v="20"/>
    <s v="$50,430.00"/>
    <s v="$6,051.60"/>
    <n v="44378.400000000001"/>
    <s v="$25,215.00"/>
    <n v="19163.400000000001"/>
    <d v="2014-01-01T00:00:00"/>
    <n v="1"/>
    <x v="0"/>
    <x v="0"/>
    <s v="Midium"/>
  </r>
  <r>
    <x v="2"/>
    <x v="3"/>
    <x v="1"/>
    <s v="High"/>
    <n v="2661"/>
    <s v="$5.00"/>
    <n v="12"/>
    <s v="$31,932.00"/>
    <s v="$3,831.84"/>
    <n v="28100.16"/>
    <s v="$7,983.00"/>
    <n v="20117.16"/>
    <d v="2014-05-01T00:00:00"/>
    <n v="5"/>
    <x v="11"/>
    <x v="0"/>
    <s v="Midium"/>
  </r>
  <r>
    <x v="0"/>
    <x v="1"/>
    <x v="2"/>
    <s v="High"/>
    <n v="1531"/>
    <s v="$10.00"/>
    <n v="20"/>
    <s v="$30,620.00"/>
    <s v="$3,674.40"/>
    <n v="26945.599999999999"/>
    <s v="$15,310.00"/>
    <n v="11635.6"/>
    <d v="2014-12-01T00:00:00"/>
    <n v="12"/>
    <x v="2"/>
    <x v="0"/>
    <s v="Midium"/>
  </r>
  <r>
    <x v="0"/>
    <x v="2"/>
    <x v="4"/>
    <s v="High"/>
    <n v="1491"/>
    <s v="$250.00"/>
    <n v="7"/>
    <s v="$10,437.00"/>
    <s v="$1,252.44"/>
    <n v="9184.56"/>
    <s v="$7,455.00"/>
    <n v="1729.56"/>
    <d v="2014-03-01T00:00:00"/>
    <n v="3"/>
    <x v="3"/>
    <x v="0"/>
    <s v="Small"/>
  </r>
  <r>
    <x v="0"/>
    <x v="1"/>
    <x v="4"/>
    <s v="High"/>
    <n v="1531"/>
    <s v="$250.00"/>
    <n v="20"/>
    <s v="$30,620.00"/>
    <s v="$3,674.40"/>
    <n v="26945.599999999999"/>
    <s v="$15,310.00"/>
    <n v="11635.6"/>
    <d v="2014-12-01T00:00:00"/>
    <n v="12"/>
    <x v="2"/>
    <x v="0"/>
    <s v="Midium"/>
  </r>
  <r>
    <x v="2"/>
    <x v="0"/>
    <x v="5"/>
    <s v="High"/>
    <n v="2761"/>
    <s v="$260.00"/>
    <n v="12"/>
    <s v="$33,132.00"/>
    <s v="$3,975.84"/>
    <n v="29156.16"/>
    <s v="$8,283.00"/>
    <n v="20873.16"/>
    <d v="2013-09-01T00:00:00"/>
    <n v="9"/>
    <x v="6"/>
    <x v="1"/>
    <s v="Midium"/>
  </r>
  <r>
    <x v="1"/>
    <x v="4"/>
    <x v="0"/>
    <s v="High"/>
    <n v="2567"/>
    <s v="$3.00"/>
    <n v="15"/>
    <s v="$38,505.00"/>
    <s v="$5,005.65"/>
    <n v="33499.35"/>
    <s v="$25,670.00"/>
    <n v="7829.35"/>
    <d v="2014-06-01T00:00:00"/>
    <n v="6"/>
    <x v="1"/>
    <x v="0"/>
    <s v="Midium"/>
  </r>
  <r>
    <x v="1"/>
    <x v="4"/>
    <x v="4"/>
    <s v="High"/>
    <n v="2567"/>
    <s v="$250.00"/>
    <n v="15"/>
    <s v="$38,505.00"/>
    <s v="$5,005.65"/>
    <n v="33499.35"/>
    <s v="$25,670.00"/>
    <n v="7829.35"/>
    <d v="2014-06-01T00:00:00"/>
    <n v="6"/>
    <x v="1"/>
    <x v="0"/>
    <s v="Midium"/>
  </r>
  <r>
    <x v="0"/>
    <x v="0"/>
    <x v="0"/>
    <s v="High"/>
    <n v="923"/>
    <s v="$3.00"/>
    <n v="350"/>
    <s v="$3,23,050.00"/>
    <s v="$41,996.50"/>
    <s v="2,81,053.50"/>
    <s v="$2,39,980.00"/>
    <n v="41073.5"/>
    <d v="2014-03-01T00:00:00"/>
    <n v="3"/>
    <x v="3"/>
    <x v="0"/>
    <s v="Small"/>
  </r>
  <r>
    <x v="0"/>
    <x v="2"/>
    <x v="0"/>
    <s v="High"/>
    <n v="1790"/>
    <s v="$3.00"/>
    <n v="350"/>
    <s v="$6,26,500.00"/>
    <s v="$81,445.00"/>
    <s v="5,45,055.00"/>
    <s v="$4,65,400.00"/>
    <n v="79655"/>
    <d v="2014-03-01T00:00:00"/>
    <n v="3"/>
    <x v="3"/>
    <x v="0"/>
    <s v="Midium"/>
  </r>
  <r>
    <x v="0"/>
    <x v="1"/>
    <x v="0"/>
    <s v="High"/>
    <n v="442"/>
    <s v="$3.00"/>
    <n v="20"/>
    <s v="$8,840.00"/>
    <s v="$1,149.20"/>
    <n v="7690.8"/>
    <s v="$4,420.00"/>
    <n v="3270.8"/>
    <d v="2013-09-01T00:00:00"/>
    <n v="9"/>
    <x v="6"/>
    <x v="1"/>
    <s v="Small"/>
  </r>
  <r>
    <x v="0"/>
    <x v="4"/>
    <x v="1"/>
    <s v="High"/>
    <n v="982.5"/>
    <s v="$5.00"/>
    <n v="350"/>
    <s v="$3,43,875.00"/>
    <s v="$44,703.75"/>
    <s v="2,99,171.25"/>
    <s v="$2,55,450.00"/>
    <n v="43721.25"/>
    <d v="2014-01-01T00:00:00"/>
    <n v="1"/>
    <x v="0"/>
    <x v="0"/>
    <s v="Small"/>
  </r>
  <r>
    <x v="0"/>
    <x v="4"/>
    <x v="1"/>
    <s v="High"/>
    <n v="1298"/>
    <s v="$5.00"/>
    <n v="7"/>
    <s v="$9,086.00"/>
    <s v="$1,181.18"/>
    <n v="7904.82"/>
    <s v="$6,490.00"/>
    <n v="1414.82"/>
    <d v="2014-02-01T00:00:00"/>
    <n v="2"/>
    <x v="8"/>
    <x v="0"/>
    <s v="Small"/>
  </r>
  <r>
    <x v="2"/>
    <x v="3"/>
    <x v="1"/>
    <s v="High"/>
    <n v="604"/>
    <s v="$5.00"/>
    <n v="12"/>
    <s v="$7,248.00"/>
    <s v="$942.24"/>
    <n v="6305.76"/>
    <s v="$1,812.00"/>
    <n v="4493.76"/>
    <d v="2014-06-01T00:00:00"/>
    <n v="6"/>
    <x v="1"/>
    <x v="0"/>
    <s v="Small"/>
  </r>
  <r>
    <x v="0"/>
    <x v="3"/>
    <x v="1"/>
    <s v="High"/>
    <n v="2255"/>
    <s v="$5.00"/>
    <n v="20"/>
    <s v="$45,100.00"/>
    <s v="$5,863.00"/>
    <n v="39237"/>
    <s v="$22,550.00"/>
    <n v="16687"/>
    <d v="2014-07-01T00:00:00"/>
    <n v="7"/>
    <x v="4"/>
    <x v="0"/>
    <s v="Midium"/>
  </r>
  <r>
    <x v="0"/>
    <x v="0"/>
    <x v="1"/>
    <s v="High"/>
    <n v="1249"/>
    <s v="$5.00"/>
    <n v="20"/>
    <s v="$24,980.00"/>
    <s v="$3,247.40"/>
    <n v="21732.6"/>
    <s v="$12,490.00"/>
    <n v="9242.6"/>
    <d v="2014-10-01T00:00:00"/>
    <n v="10"/>
    <x v="7"/>
    <x v="0"/>
    <s v="Small"/>
  </r>
  <r>
    <x v="0"/>
    <x v="4"/>
    <x v="2"/>
    <s v="High"/>
    <n v="1438.5"/>
    <s v="$10.00"/>
    <n v="7"/>
    <s v="$10,069.50"/>
    <s v="$1,309.04"/>
    <n v="8760.4699999999993"/>
    <s v="$7,192.50"/>
    <n v="1567.97"/>
    <d v="2014-01-01T00:00:00"/>
    <n v="1"/>
    <x v="0"/>
    <x v="0"/>
    <s v="Small"/>
  </r>
  <r>
    <x v="4"/>
    <x v="1"/>
    <x v="2"/>
    <s v="High"/>
    <n v="807"/>
    <s v="$10.00"/>
    <n v="300"/>
    <s v="$2,42,100.00"/>
    <s v="$31,473.00"/>
    <s v="2,10,627.00"/>
    <s v="$2,01,750.00"/>
    <n v="8877"/>
    <d v="2014-01-01T00:00:00"/>
    <n v="1"/>
    <x v="0"/>
    <x v="0"/>
    <s v="Small"/>
  </r>
  <r>
    <x v="0"/>
    <x v="4"/>
    <x v="2"/>
    <s v="High"/>
    <n v="2641"/>
    <s v="$10.00"/>
    <n v="20"/>
    <s v="$52,820.00"/>
    <s v="$6,866.60"/>
    <n v="45953.4"/>
    <s v="$26,410.00"/>
    <n v="19543.400000000001"/>
    <d v="2014-02-01T00:00:00"/>
    <n v="2"/>
    <x v="8"/>
    <x v="0"/>
    <s v="Midium"/>
  </r>
  <r>
    <x v="0"/>
    <x v="1"/>
    <x v="2"/>
    <s v="High"/>
    <n v="2708"/>
    <s v="$10.00"/>
    <n v="20"/>
    <s v="$54,160.00"/>
    <s v="$7,040.80"/>
    <n v="47119.199999999997"/>
    <s v="$27,080.00"/>
    <n v="20039.2"/>
    <d v="2014-02-01T00:00:00"/>
    <n v="2"/>
    <x v="8"/>
    <x v="0"/>
    <s v="Midium"/>
  </r>
  <r>
    <x v="0"/>
    <x v="0"/>
    <x v="2"/>
    <s v="High"/>
    <n v="2632"/>
    <s v="$10.00"/>
    <n v="350"/>
    <s v="$9,21,200.00"/>
    <s v="$1,19,756.00"/>
    <s v="8,01,444.00"/>
    <s v="$6,84,320.00"/>
    <s v="1,17,124.00"/>
    <d v="2014-06-01T00:00:00"/>
    <n v="6"/>
    <x v="1"/>
    <x v="0"/>
    <s v="Midium"/>
  </r>
  <r>
    <x v="3"/>
    <x v="0"/>
    <x v="2"/>
    <s v="High"/>
    <n v="1583"/>
    <s v="$10.00"/>
    <n v="125"/>
    <s v="$1,97,875.00"/>
    <s v="$25,723.75"/>
    <s v="1,72,151.25"/>
    <s v="$1,89,960.00"/>
    <n v="17808.75"/>
    <d v="2014-06-01T00:00:00"/>
    <n v="6"/>
    <x v="1"/>
    <x v="0"/>
    <s v="Midium"/>
  </r>
  <r>
    <x v="2"/>
    <x v="3"/>
    <x v="2"/>
    <s v="High"/>
    <n v="571"/>
    <s v="$10.00"/>
    <n v="12"/>
    <s v="$6,852.00"/>
    <s v="$890.76"/>
    <n v="5961.24"/>
    <s v="$1,713.00"/>
    <n v="4248.24"/>
    <d v="2014-07-01T00:00:00"/>
    <n v="7"/>
    <x v="4"/>
    <x v="0"/>
    <s v="Small"/>
  </r>
  <r>
    <x v="0"/>
    <x v="2"/>
    <x v="2"/>
    <s v="High"/>
    <n v="2696"/>
    <s v="$10.00"/>
    <n v="7"/>
    <s v="$18,872.00"/>
    <s v="$2,453.36"/>
    <n v="16418.64"/>
    <s v="$13,480.00"/>
    <n v="2938.64"/>
    <d v="2014-08-01T00:00:00"/>
    <n v="8"/>
    <x v="5"/>
    <x v="0"/>
    <s v="Midium"/>
  </r>
  <r>
    <x v="1"/>
    <x v="0"/>
    <x v="2"/>
    <s v="High"/>
    <n v="1565"/>
    <s v="$10.00"/>
    <n v="15"/>
    <s v="$23,475.00"/>
    <s v="$3,051.75"/>
    <n v="20423.25"/>
    <s v="$15,650.00"/>
    <n v="4773.25"/>
    <d v="2014-10-01T00:00:00"/>
    <n v="10"/>
    <x v="7"/>
    <x v="0"/>
    <s v="Midium"/>
  </r>
  <r>
    <x v="0"/>
    <x v="0"/>
    <x v="2"/>
    <s v="High"/>
    <n v="1249"/>
    <s v="$10.00"/>
    <n v="20"/>
    <s v="$24,980.00"/>
    <s v="$3,247.40"/>
    <n v="21732.6"/>
    <s v="$12,490.00"/>
    <n v="9242.6"/>
    <d v="2014-10-01T00:00:00"/>
    <n v="10"/>
    <x v="7"/>
    <x v="0"/>
    <s v="Small"/>
  </r>
  <r>
    <x v="0"/>
    <x v="1"/>
    <x v="2"/>
    <s v="High"/>
    <n v="357"/>
    <s v="$10.00"/>
    <n v="350"/>
    <s v="$1,24,950.00"/>
    <s v="$16,243.50"/>
    <s v="1,08,706.50"/>
    <s v="$92,820.00"/>
    <n v="15886.5"/>
    <d v="2014-11-01T00:00:00"/>
    <n v="11"/>
    <x v="9"/>
    <x v="0"/>
    <s v="Small"/>
  </r>
  <r>
    <x v="2"/>
    <x v="1"/>
    <x v="2"/>
    <s v="High"/>
    <n v="1013"/>
    <s v="$10.00"/>
    <n v="12"/>
    <s v="$12,156.00"/>
    <s v="$1,580.28"/>
    <n v="10575.72"/>
    <s v="$3,039.00"/>
    <n v="7536.72"/>
    <d v="2014-12-01T00:00:00"/>
    <n v="12"/>
    <x v="2"/>
    <x v="0"/>
    <s v="Small"/>
  </r>
  <r>
    <x v="1"/>
    <x v="2"/>
    <x v="3"/>
    <s v="High"/>
    <n v="3997.5"/>
    <s v="$120.00"/>
    <n v="15"/>
    <s v="$59,962.50"/>
    <s v="$7,795.13"/>
    <n v="52167.38"/>
    <s v="$39,975.00"/>
    <n v="12192.38"/>
    <d v="2014-01-01T00:00:00"/>
    <n v="1"/>
    <x v="0"/>
    <x v="0"/>
    <s v="Large"/>
  </r>
  <r>
    <x v="0"/>
    <x v="0"/>
    <x v="3"/>
    <s v="High"/>
    <n v="2632"/>
    <s v="$120.00"/>
    <n v="350"/>
    <s v="$9,21,200.00"/>
    <s v="$1,19,756.00"/>
    <s v="8,01,444.00"/>
    <s v="$6,84,320.00"/>
    <s v="1,17,124.00"/>
    <d v="2014-06-01T00:00:00"/>
    <n v="6"/>
    <x v="1"/>
    <x v="0"/>
    <s v="Midium"/>
  </r>
  <r>
    <x v="0"/>
    <x v="2"/>
    <x v="3"/>
    <s v="High"/>
    <n v="1190"/>
    <s v="$120.00"/>
    <n v="7"/>
    <s v="$8,330.00"/>
    <s v="$1,082.90"/>
    <n v="7247.1"/>
    <s v="$5,950.00"/>
    <n v="1297.0999999999999"/>
    <d v="2014-06-01T00:00:00"/>
    <n v="6"/>
    <x v="1"/>
    <x v="0"/>
    <s v="Small"/>
  </r>
  <r>
    <x v="2"/>
    <x v="3"/>
    <x v="3"/>
    <s v="High"/>
    <n v="604"/>
    <s v="$120.00"/>
    <n v="12"/>
    <s v="$7,248.00"/>
    <s v="$942.24"/>
    <n v="6305.76"/>
    <s v="$1,812.00"/>
    <n v="4493.76"/>
    <d v="2014-06-01T00:00:00"/>
    <n v="6"/>
    <x v="1"/>
    <x v="0"/>
    <s v="Small"/>
  </r>
  <r>
    <x v="1"/>
    <x v="1"/>
    <x v="3"/>
    <s v="High"/>
    <n v="660"/>
    <s v="$120.00"/>
    <n v="15"/>
    <s v="$9,900.00"/>
    <s v="$1,287.00"/>
    <n v="8613"/>
    <s v="$6,600.00"/>
    <n v="2013"/>
    <d v="2013-09-01T00:00:00"/>
    <n v="9"/>
    <x v="6"/>
    <x v="1"/>
    <s v="Small"/>
  </r>
  <r>
    <x v="2"/>
    <x v="3"/>
    <x v="3"/>
    <s v="High"/>
    <n v="410"/>
    <s v="$120.00"/>
    <n v="12"/>
    <s v="$4,920.00"/>
    <s v="$639.60"/>
    <n v="4280.3999999999996"/>
    <s v="$1,230.00"/>
    <n v="3050.4"/>
    <d v="2014-10-01T00:00:00"/>
    <n v="10"/>
    <x v="7"/>
    <x v="0"/>
    <s v="Small"/>
  </r>
  <r>
    <x v="4"/>
    <x v="3"/>
    <x v="3"/>
    <s v="High"/>
    <n v="2605"/>
    <s v="$120.00"/>
    <n v="300"/>
    <s v="$7,81,500.00"/>
    <s v="$1,01,595.00"/>
    <s v="6,79,905.00"/>
    <s v="$6,51,250.00"/>
    <n v="28655"/>
    <d v="2013-11-01T00:00:00"/>
    <n v="11"/>
    <x v="9"/>
    <x v="1"/>
    <s v="Midium"/>
  </r>
  <r>
    <x v="2"/>
    <x v="1"/>
    <x v="3"/>
    <s v="High"/>
    <n v="1013"/>
    <s v="$120.00"/>
    <n v="12"/>
    <s v="$12,156.00"/>
    <s v="$1,580.28"/>
    <n v="10575.72"/>
    <s v="$3,039.00"/>
    <n v="7536.72"/>
    <d v="2014-12-01T00:00:00"/>
    <n v="12"/>
    <x v="2"/>
    <x v="0"/>
    <s v="Small"/>
  </r>
  <r>
    <x v="3"/>
    <x v="0"/>
    <x v="4"/>
    <s v="High"/>
    <n v="1583"/>
    <s v="$250.00"/>
    <n v="125"/>
    <s v="$1,97,875.00"/>
    <s v="$25,723.75"/>
    <s v="1,72,151.25"/>
    <s v="$1,89,960.00"/>
    <n v="17808.75"/>
    <d v="2014-06-01T00:00:00"/>
    <n v="6"/>
    <x v="1"/>
    <x v="0"/>
    <s v="Midium"/>
  </r>
  <r>
    <x v="1"/>
    <x v="0"/>
    <x v="4"/>
    <s v="High"/>
    <n v="1565"/>
    <s v="$250.00"/>
    <n v="15"/>
    <s v="$23,475.00"/>
    <s v="$3,051.75"/>
    <n v="20423.25"/>
    <s v="$15,650.00"/>
    <n v="4773.25"/>
    <d v="2014-10-01T00:00:00"/>
    <n v="10"/>
    <x v="7"/>
    <x v="0"/>
    <s v="Midium"/>
  </r>
  <r>
    <x v="3"/>
    <x v="0"/>
    <x v="5"/>
    <s v="High"/>
    <n v="1659"/>
    <s v="$260.00"/>
    <n v="125"/>
    <s v="$2,07,375.00"/>
    <s v="$26,958.75"/>
    <s v="1,80,416.25"/>
    <s v="$1,99,080.00"/>
    <n v="18663.75"/>
    <d v="2014-01-01T00:00:00"/>
    <n v="1"/>
    <x v="0"/>
    <x v="0"/>
    <s v="Midium"/>
  </r>
  <r>
    <x v="0"/>
    <x v="2"/>
    <x v="5"/>
    <s v="High"/>
    <n v="1190"/>
    <s v="$260.00"/>
    <n v="7"/>
    <s v="$8,330.00"/>
    <s v="$1,082.90"/>
    <n v="7247.1"/>
    <s v="$5,950.00"/>
    <n v="1297.0999999999999"/>
    <d v="2014-06-01T00:00:00"/>
    <n v="6"/>
    <x v="1"/>
    <x v="0"/>
    <s v="Small"/>
  </r>
  <r>
    <x v="2"/>
    <x v="3"/>
    <x v="5"/>
    <s v="High"/>
    <n v="410"/>
    <s v="$260.00"/>
    <n v="12"/>
    <s v="$4,920.00"/>
    <s v="$639.60"/>
    <n v="4280.3999999999996"/>
    <s v="$1,230.00"/>
    <n v="3050.4"/>
    <d v="2014-10-01T00:00:00"/>
    <n v="10"/>
    <x v="7"/>
    <x v="0"/>
    <s v="Small"/>
  </r>
  <r>
    <x v="2"/>
    <x v="1"/>
    <x v="5"/>
    <s v="High"/>
    <n v="1770"/>
    <s v="$260.00"/>
    <n v="12"/>
    <s v="$21,240.00"/>
    <s v="$2,761.20"/>
    <n v="18478.8"/>
    <s v="$5,310.00"/>
    <n v="13168.8"/>
    <d v="2013-12-01T00:00:00"/>
    <n v="12"/>
    <x v="2"/>
    <x v="1"/>
    <s v="Midium"/>
  </r>
  <r>
    <x v="0"/>
    <x v="3"/>
    <x v="0"/>
    <s v="High"/>
    <n v="2579"/>
    <s v="$3.00"/>
    <n v="20"/>
    <s v="$51,580.00"/>
    <s v="$7,221.20"/>
    <n v="44358.8"/>
    <s v="$25,790.00"/>
    <n v="18568.8"/>
    <d v="2014-04-01T00:00:00"/>
    <n v="4"/>
    <x v="10"/>
    <x v="0"/>
    <s v="Midium"/>
  </r>
  <r>
    <x v="0"/>
    <x v="4"/>
    <x v="0"/>
    <s v="High"/>
    <n v="1743"/>
    <s v="$3.00"/>
    <n v="20"/>
    <s v="$34,860.00"/>
    <s v="$4,880.40"/>
    <n v="29979.599999999999"/>
    <s v="$17,430.00"/>
    <n v="12549.6"/>
    <d v="2014-05-01T00:00:00"/>
    <n v="5"/>
    <x v="11"/>
    <x v="0"/>
    <s v="Midium"/>
  </r>
  <r>
    <x v="0"/>
    <x v="4"/>
    <x v="0"/>
    <s v="High"/>
    <n v="2996"/>
    <s v="$3.00"/>
    <n v="7"/>
    <s v="$20,972.00"/>
    <s v="$2,936.08"/>
    <n v="18035.919999999998"/>
    <s v="$14,980.00"/>
    <n v="3055.92"/>
    <d v="2013-10-01T00:00:00"/>
    <n v="10"/>
    <x v="7"/>
    <x v="1"/>
    <s v="Midium"/>
  </r>
  <r>
    <x v="0"/>
    <x v="1"/>
    <x v="0"/>
    <s v="High"/>
    <n v="280"/>
    <s v="$3.00"/>
    <n v="7"/>
    <s v="$1,960.00"/>
    <s v="$274.40"/>
    <n v="1685.6"/>
    <s v="$1,400.00"/>
    <n v="285.60000000000002"/>
    <d v="2014-12-01T00:00:00"/>
    <n v="12"/>
    <x v="2"/>
    <x v="0"/>
    <s v="Small"/>
  </r>
  <r>
    <x v="0"/>
    <x v="2"/>
    <x v="1"/>
    <s v="High"/>
    <n v="293"/>
    <s v="$5.00"/>
    <n v="7"/>
    <s v="$2,051.00"/>
    <s v="$287.14"/>
    <n v="1763.86"/>
    <s v="$1,465.00"/>
    <n v="298.86"/>
    <d v="2014-02-01T00:00:00"/>
    <n v="2"/>
    <x v="8"/>
    <x v="0"/>
    <s v="Small"/>
  </r>
  <r>
    <x v="0"/>
    <x v="4"/>
    <x v="1"/>
    <s v="High"/>
    <n v="2996"/>
    <s v="$5.00"/>
    <n v="7"/>
    <s v="$20,972.00"/>
    <s v="$2,936.08"/>
    <n v="18035.919999999998"/>
    <s v="$14,980.00"/>
    <n v="3055.92"/>
    <d v="2013-10-01T00:00:00"/>
    <n v="10"/>
    <x v="7"/>
    <x v="1"/>
    <s v="Midium"/>
  </r>
  <r>
    <x v="1"/>
    <x v="1"/>
    <x v="2"/>
    <s v="High"/>
    <n v="278"/>
    <s v="$10.00"/>
    <n v="15"/>
    <s v="$4,170.00"/>
    <s v="$583.80"/>
    <n v="3586.2"/>
    <s v="$2,780.00"/>
    <n v="806.2"/>
    <d v="2014-02-01T00:00:00"/>
    <n v="2"/>
    <x v="8"/>
    <x v="0"/>
    <s v="Small"/>
  </r>
  <r>
    <x v="0"/>
    <x v="0"/>
    <x v="2"/>
    <s v="High"/>
    <n v="2428"/>
    <s v="$10.00"/>
    <n v="20"/>
    <s v="$48,560.00"/>
    <s v="$6,798.40"/>
    <n v="41761.599999999999"/>
    <s v="$24,280.00"/>
    <n v="17481.599999999999"/>
    <d v="2014-03-01T00:00:00"/>
    <n v="3"/>
    <x v="3"/>
    <x v="0"/>
    <s v="Midium"/>
  </r>
  <r>
    <x v="1"/>
    <x v="4"/>
    <x v="2"/>
    <s v="High"/>
    <n v="1767"/>
    <s v="$10.00"/>
    <n v="15"/>
    <s v="$26,505.00"/>
    <s v="$3,710.70"/>
    <n v="22794.3"/>
    <s v="$17,670.00"/>
    <n v="5124.3"/>
    <d v="2014-09-01T00:00:00"/>
    <n v="9"/>
    <x v="6"/>
    <x v="0"/>
    <s v="Midium"/>
  </r>
  <r>
    <x v="2"/>
    <x v="2"/>
    <x v="2"/>
    <s v="High"/>
    <n v="1393"/>
    <s v="$10.00"/>
    <n v="12"/>
    <s v="$16,716.00"/>
    <s v="$2,340.24"/>
    <n v="14375.76"/>
    <s v="$4,179.00"/>
    <n v="10196.76"/>
    <d v="2014-10-01T00:00:00"/>
    <n v="10"/>
    <x v="7"/>
    <x v="0"/>
    <s v="Small"/>
  </r>
  <r>
    <x v="0"/>
    <x v="1"/>
    <x v="4"/>
    <s v="High"/>
    <n v="280"/>
    <s v="$250.00"/>
    <n v="7"/>
    <s v="$1,960.00"/>
    <s v="$274.40"/>
    <n v="1685.6"/>
    <s v="$1,400.00"/>
    <n v="285.60000000000002"/>
    <d v="2014-12-01T00:00:00"/>
    <n v="12"/>
    <x v="2"/>
    <x v="0"/>
    <s v="Small"/>
  </r>
  <r>
    <x v="2"/>
    <x v="2"/>
    <x v="5"/>
    <s v="High"/>
    <n v="1393"/>
    <s v="$260.00"/>
    <n v="12"/>
    <s v="$16,716.00"/>
    <s v="$2,340.24"/>
    <n v="14375.76"/>
    <s v="$4,179.00"/>
    <n v="10196.76"/>
    <d v="2014-10-01T00:00:00"/>
    <n v="10"/>
    <x v="7"/>
    <x v="0"/>
    <s v="Small"/>
  </r>
  <r>
    <x v="2"/>
    <x v="4"/>
    <x v="5"/>
    <s v="High"/>
    <n v="2015"/>
    <s v="$260.00"/>
    <n v="12"/>
    <s v="$24,180.00"/>
    <s v="$3,385.20"/>
    <n v="20794.8"/>
    <s v="$6,045.00"/>
    <n v="14749.8"/>
    <d v="2013-12-01T00:00:00"/>
    <n v="12"/>
    <x v="2"/>
    <x v="1"/>
    <s v="Midium"/>
  </r>
  <r>
    <x v="4"/>
    <x v="3"/>
    <x v="0"/>
    <s v="High"/>
    <n v="801"/>
    <s v="$3.00"/>
    <n v="300"/>
    <s v="$2,40,300.00"/>
    <s v="$33,642.00"/>
    <s v="2,06,658.00"/>
    <s v="$2,00,250.00"/>
    <n v="6408"/>
    <d v="2014-07-01T00:00:00"/>
    <n v="7"/>
    <x v="4"/>
    <x v="0"/>
    <s v="Small"/>
  </r>
  <r>
    <x v="3"/>
    <x v="2"/>
    <x v="0"/>
    <s v="High"/>
    <n v="1023"/>
    <s v="$3.00"/>
    <n v="125"/>
    <s v="$1,27,875.00"/>
    <s v="$17,902.50"/>
    <s v="1,09,972.50"/>
    <s v="$1,22,760.00"/>
    <n v="12787.5"/>
    <d v="2013-09-01T00:00:00"/>
    <n v="9"/>
    <x v="6"/>
    <x v="1"/>
    <s v="Small"/>
  </r>
  <r>
    <x v="4"/>
    <x v="0"/>
    <x v="0"/>
    <s v="High"/>
    <n v="1496"/>
    <s v="$3.00"/>
    <n v="300"/>
    <s v="$4,48,800.00"/>
    <s v="$62,832.00"/>
    <s v="3,85,968.00"/>
    <s v="$3,74,000.00"/>
    <n v="11968"/>
    <d v="2014-10-01T00:00:00"/>
    <n v="10"/>
    <x v="7"/>
    <x v="0"/>
    <s v="Small"/>
  </r>
  <r>
    <x v="4"/>
    <x v="4"/>
    <x v="0"/>
    <s v="High"/>
    <n v="1010"/>
    <s v="$3.00"/>
    <n v="300"/>
    <s v="$3,03,000.00"/>
    <s v="$42,420.00"/>
    <s v="2,60,580.00"/>
    <s v="$2,52,500.00"/>
    <n v="8080"/>
    <d v="2014-10-01T00:00:00"/>
    <n v="10"/>
    <x v="7"/>
    <x v="0"/>
    <s v="Small"/>
  </r>
  <r>
    <x v="1"/>
    <x v="1"/>
    <x v="0"/>
    <s v="High"/>
    <n v="1513"/>
    <s v="$3.00"/>
    <n v="15"/>
    <s v="$22,695.00"/>
    <s v="$3,177.30"/>
    <n v="19517.7"/>
    <s v="$15,130.00"/>
    <n v="4387.7"/>
    <d v="2014-11-01T00:00:00"/>
    <n v="11"/>
    <x v="9"/>
    <x v="0"/>
    <s v="Midium"/>
  </r>
  <r>
    <x v="1"/>
    <x v="0"/>
    <x v="0"/>
    <s v="High"/>
    <n v="2300"/>
    <s v="$3.00"/>
    <n v="15"/>
    <s v="$34,500.00"/>
    <s v="$4,830.00"/>
    <n v="29670"/>
    <s v="$23,000.00"/>
    <n v="6670"/>
    <d v="2014-12-01T00:00:00"/>
    <n v="12"/>
    <x v="2"/>
    <x v="0"/>
    <s v="Midium"/>
  </r>
  <r>
    <x v="3"/>
    <x v="3"/>
    <x v="0"/>
    <s v="High"/>
    <n v="2821"/>
    <s v="$3.00"/>
    <n v="125"/>
    <s v="$3,52,625.00"/>
    <s v="$49,367.50"/>
    <s v="3,03,257.50"/>
    <s v="$3,38,520.00"/>
    <n v="35262.5"/>
    <d v="2013-12-01T00:00:00"/>
    <n v="12"/>
    <x v="2"/>
    <x v="1"/>
    <s v="Midium"/>
  </r>
  <r>
    <x v="0"/>
    <x v="0"/>
    <x v="1"/>
    <s v="High"/>
    <n v="2227.5"/>
    <s v="$5.00"/>
    <n v="350"/>
    <s v="$7,79,625.00"/>
    <s v="$1,09,147.50"/>
    <s v="6,70,477.50"/>
    <s v="$5,79,150.00"/>
    <n v="91327.5"/>
    <d v="2014-01-01T00:00:00"/>
    <n v="1"/>
    <x v="0"/>
    <x v="0"/>
    <s v="Midium"/>
  </r>
  <r>
    <x v="0"/>
    <x v="1"/>
    <x v="1"/>
    <s v="High"/>
    <n v="1199"/>
    <s v="$5.00"/>
    <n v="350"/>
    <s v="$4,19,650.00"/>
    <s v="$58,751.00"/>
    <s v="3,60,899.00"/>
    <s v="$3,11,740.00"/>
    <n v="49159"/>
    <d v="2014-04-01T00:00:00"/>
    <n v="4"/>
    <x v="10"/>
    <x v="0"/>
    <s v="Small"/>
  </r>
  <r>
    <x v="0"/>
    <x v="0"/>
    <x v="1"/>
    <s v="High"/>
    <n v="200"/>
    <s v="$5.00"/>
    <n v="350"/>
    <s v="$70,000.00"/>
    <s v="$9,800.00"/>
    <n v="60200"/>
    <s v="$52,000.00"/>
    <n v="8200"/>
    <d v="2014-05-01T00:00:00"/>
    <n v="5"/>
    <x v="11"/>
    <x v="0"/>
    <s v="Small"/>
  </r>
  <r>
    <x v="0"/>
    <x v="0"/>
    <x v="1"/>
    <s v="High"/>
    <n v="388"/>
    <s v="$5.00"/>
    <n v="7"/>
    <s v="$2,716.00"/>
    <s v="$380.24"/>
    <n v="2335.7600000000002"/>
    <s v="$1,940.00"/>
    <n v="395.76"/>
    <d v="2014-09-01T00:00:00"/>
    <n v="9"/>
    <x v="6"/>
    <x v="0"/>
    <s v="Small"/>
  </r>
  <r>
    <x v="0"/>
    <x v="3"/>
    <x v="1"/>
    <s v="High"/>
    <n v="1727"/>
    <s v="$5.00"/>
    <n v="7"/>
    <s v="$12,089.00"/>
    <s v="$1,692.46"/>
    <n v="10396.540000000001"/>
    <s v="$8,635.00"/>
    <n v="1761.54"/>
    <d v="2013-10-01T00:00:00"/>
    <n v="10"/>
    <x v="7"/>
    <x v="1"/>
    <s v="Midium"/>
  </r>
  <r>
    <x v="1"/>
    <x v="0"/>
    <x v="1"/>
    <s v="High"/>
    <n v="2300"/>
    <s v="$5.00"/>
    <n v="15"/>
    <s v="$34,500.00"/>
    <s v="$4,830.00"/>
    <n v="29670"/>
    <s v="$23,000.00"/>
    <n v="6670"/>
    <d v="2014-12-01T00:00:00"/>
    <n v="12"/>
    <x v="2"/>
    <x v="0"/>
    <s v="Midium"/>
  </r>
  <r>
    <x v="0"/>
    <x v="3"/>
    <x v="2"/>
    <s v="High"/>
    <n v="260"/>
    <s v="$10.00"/>
    <n v="20"/>
    <s v="$5,200.00"/>
    <s v="$728.00"/>
    <n v="4472"/>
    <s v="$2,600.00"/>
    <n v="1872"/>
    <d v="2014-02-01T00:00:00"/>
    <n v="2"/>
    <x v="8"/>
    <x v="0"/>
    <s v="Small"/>
  </r>
  <r>
    <x v="1"/>
    <x v="0"/>
    <x v="2"/>
    <s v="High"/>
    <n v="2470"/>
    <s v="$10.00"/>
    <n v="15"/>
    <s v="$37,050.00"/>
    <s v="$5,187.00"/>
    <n v="31863"/>
    <s v="$24,700.00"/>
    <n v="7163"/>
    <d v="2013-09-01T00:00:00"/>
    <n v="9"/>
    <x v="6"/>
    <x v="1"/>
    <s v="Midium"/>
  </r>
  <r>
    <x v="1"/>
    <x v="0"/>
    <x v="2"/>
    <s v="High"/>
    <n v="1743"/>
    <s v="$10.00"/>
    <n v="15"/>
    <s v="$26,145.00"/>
    <s v="$3,660.30"/>
    <n v="22484.7"/>
    <s v="$17,430.00"/>
    <n v="5054.7"/>
    <d v="2013-10-01T00:00:00"/>
    <n v="10"/>
    <x v="7"/>
    <x v="1"/>
    <s v="Midium"/>
  </r>
  <r>
    <x v="2"/>
    <x v="4"/>
    <x v="2"/>
    <s v="High"/>
    <n v="2914"/>
    <s v="$10.00"/>
    <n v="12"/>
    <s v="$34,968.00"/>
    <s v="$4,895.52"/>
    <n v="30072.48"/>
    <s v="$8,742.00"/>
    <n v="21330.48"/>
    <d v="2014-10-01T00:00:00"/>
    <n v="10"/>
    <x v="7"/>
    <x v="0"/>
    <s v="Midium"/>
  </r>
  <r>
    <x v="0"/>
    <x v="2"/>
    <x v="2"/>
    <s v="High"/>
    <n v="1731"/>
    <s v="$10.00"/>
    <n v="7"/>
    <s v="$12,117.00"/>
    <s v="$1,696.38"/>
    <n v="10420.620000000001"/>
    <s v="$8,655.00"/>
    <n v="1765.62"/>
    <d v="2014-10-01T00:00:00"/>
    <n v="10"/>
    <x v="7"/>
    <x v="0"/>
    <s v="Midium"/>
  </r>
  <r>
    <x v="0"/>
    <x v="0"/>
    <x v="2"/>
    <s v="High"/>
    <n v="700"/>
    <s v="$10.00"/>
    <n v="350"/>
    <s v="$2,45,000.00"/>
    <s v="$34,300.00"/>
    <s v="2,10,700.00"/>
    <s v="$1,82,000.00"/>
    <n v="28700"/>
    <d v="2014-11-01T00:00:00"/>
    <n v="11"/>
    <x v="9"/>
    <x v="0"/>
    <s v="Small"/>
  </r>
  <r>
    <x v="2"/>
    <x v="0"/>
    <x v="2"/>
    <s v="High"/>
    <n v="2222"/>
    <s v="$10.00"/>
    <n v="12"/>
    <s v="$26,664.00"/>
    <s v="$3,732.96"/>
    <n v="22931.040000000001"/>
    <s v="$6,666.00"/>
    <n v="16265.04"/>
    <d v="2013-11-01T00:00:00"/>
    <n v="11"/>
    <x v="9"/>
    <x v="1"/>
    <s v="Midium"/>
  </r>
  <r>
    <x v="0"/>
    <x v="4"/>
    <x v="2"/>
    <s v="High"/>
    <n v="1177"/>
    <s v="$10.00"/>
    <n v="350"/>
    <s v="$4,11,950.00"/>
    <s v="$57,673.00"/>
    <s v="3,54,277.00"/>
    <s v="$3,06,020.00"/>
    <n v="48257"/>
    <d v="2014-11-01T00:00:00"/>
    <n v="11"/>
    <x v="9"/>
    <x v="0"/>
    <s v="Small"/>
  </r>
  <r>
    <x v="0"/>
    <x v="2"/>
    <x v="2"/>
    <s v="High"/>
    <n v="1922"/>
    <s v="$10.00"/>
    <n v="350"/>
    <s v="$6,72,700.00"/>
    <s v="$94,178.00"/>
    <s v="5,78,522.00"/>
    <s v="$4,99,720.00"/>
    <n v="78802"/>
    <d v="2013-11-01T00:00:00"/>
    <n v="11"/>
    <x v="9"/>
    <x v="1"/>
    <s v="Midium"/>
  </r>
  <r>
    <x v="3"/>
    <x v="3"/>
    <x v="3"/>
    <s v="High"/>
    <n v="1575"/>
    <s v="$120.00"/>
    <n v="125"/>
    <s v="$1,96,875.00"/>
    <s v="$27,562.50"/>
    <s v="1,69,312.50"/>
    <s v="$1,89,000.00"/>
    <n v="19687.5"/>
    <d v="2014-02-01T00:00:00"/>
    <n v="2"/>
    <x v="8"/>
    <x v="0"/>
    <s v="Midium"/>
  </r>
  <r>
    <x v="0"/>
    <x v="4"/>
    <x v="3"/>
    <s v="High"/>
    <n v="606"/>
    <s v="$120.00"/>
    <n v="20"/>
    <s v="$12,120.00"/>
    <s v="$1,696.80"/>
    <n v="10423.200000000001"/>
    <s v="$6,060.00"/>
    <n v="4363.2"/>
    <d v="2014-04-01T00:00:00"/>
    <n v="4"/>
    <x v="10"/>
    <x v="0"/>
    <s v="Small"/>
  </r>
  <r>
    <x v="4"/>
    <x v="4"/>
    <x v="3"/>
    <s v="High"/>
    <n v="2460"/>
    <s v="$120.00"/>
    <n v="300"/>
    <s v="$7,38,000.00"/>
    <s v="$1,03,320.00"/>
    <s v="6,34,680.00"/>
    <s v="$6,15,000.00"/>
    <n v="19680"/>
    <d v="2014-07-01T00:00:00"/>
    <n v="7"/>
    <x v="4"/>
    <x v="0"/>
    <s v="Midium"/>
  </r>
  <r>
    <x v="4"/>
    <x v="0"/>
    <x v="3"/>
    <s v="High"/>
    <n v="269"/>
    <s v="$120.00"/>
    <n v="300"/>
    <s v="$80,700.00"/>
    <s v="$11,298.00"/>
    <n v="69402"/>
    <s v="$67,250.00"/>
    <n v="2152"/>
    <d v="2013-10-01T00:00:00"/>
    <n v="10"/>
    <x v="7"/>
    <x v="1"/>
    <s v="Small"/>
  </r>
  <r>
    <x v="4"/>
    <x v="1"/>
    <x v="3"/>
    <s v="High"/>
    <n v="2536"/>
    <s v="$120.00"/>
    <n v="300"/>
    <s v="$7,60,800.00"/>
    <s v="$1,06,512.00"/>
    <s v="6,54,288.00"/>
    <s v="$6,34,000.00"/>
    <n v="20288"/>
    <d v="2013-11-01T00:00:00"/>
    <n v="11"/>
    <x v="9"/>
    <x v="1"/>
    <s v="Midium"/>
  </r>
  <r>
    <x v="0"/>
    <x v="3"/>
    <x v="4"/>
    <s v="High"/>
    <n v="2903"/>
    <s v="$250.00"/>
    <n v="7"/>
    <s v="$20,321.00"/>
    <s v="$2,844.94"/>
    <n v="17476.060000000001"/>
    <s v="$14,515.00"/>
    <n v="2961.06"/>
    <d v="2014-03-01T00:00:00"/>
    <n v="3"/>
    <x v="3"/>
    <x v="0"/>
    <s v="Midium"/>
  </r>
  <r>
    <x v="4"/>
    <x v="4"/>
    <x v="4"/>
    <s v="High"/>
    <n v="2541"/>
    <s v="$250.00"/>
    <n v="300"/>
    <s v="$7,62,300.00"/>
    <s v="$1,06,722.00"/>
    <s v="6,55,578.00"/>
    <s v="$6,35,250.00"/>
    <n v="20328"/>
    <d v="2014-08-01T00:00:00"/>
    <n v="8"/>
    <x v="5"/>
    <x v="0"/>
    <s v="Midium"/>
  </r>
  <r>
    <x v="4"/>
    <x v="0"/>
    <x v="4"/>
    <s v="High"/>
    <n v="269"/>
    <s v="$250.00"/>
    <n v="300"/>
    <s v="$80,700.00"/>
    <s v="$11,298.00"/>
    <n v="69402"/>
    <s v="$67,250.00"/>
    <n v="2152"/>
    <d v="2013-10-01T00:00:00"/>
    <n v="10"/>
    <x v="7"/>
    <x v="1"/>
    <s v="Small"/>
  </r>
  <r>
    <x v="4"/>
    <x v="0"/>
    <x v="4"/>
    <s v="High"/>
    <n v="1496"/>
    <s v="$250.00"/>
    <n v="300"/>
    <s v="$4,48,800.00"/>
    <s v="$62,832.00"/>
    <s v="3,85,968.00"/>
    <s v="$3,74,000.00"/>
    <n v="11968"/>
    <d v="2014-10-01T00:00:00"/>
    <n v="10"/>
    <x v="7"/>
    <x v="0"/>
    <s v="Small"/>
  </r>
  <r>
    <x v="4"/>
    <x v="4"/>
    <x v="4"/>
    <s v="High"/>
    <n v="1010"/>
    <s v="$250.00"/>
    <n v="300"/>
    <s v="$3,03,000.00"/>
    <s v="$42,420.00"/>
    <s v="2,60,580.00"/>
    <s v="$2,52,500.00"/>
    <n v="8080"/>
    <d v="2014-10-01T00:00:00"/>
    <n v="10"/>
    <x v="7"/>
    <x v="0"/>
    <s v="Small"/>
  </r>
  <r>
    <x v="0"/>
    <x v="2"/>
    <x v="4"/>
    <s v="High"/>
    <n v="1281"/>
    <s v="$250.00"/>
    <n v="350"/>
    <s v="$4,48,350.00"/>
    <s v="$62,769.00"/>
    <s v="3,85,581.00"/>
    <s v="$3,33,060.00"/>
    <n v="52521"/>
    <d v="2013-12-01T00:00:00"/>
    <n v="12"/>
    <x v="2"/>
    <x v="1"/>
    <s v="Small"/>
  </r>
  <r>
    <x v="4"/>
    <x v="0"/>
    <x v="5"/>
    <s v="High"/>
    <n v="888"/>
    <s v="$260.00"/>
    <n v="300"/>
    <s v="$2,66,400.00"/>
    <s v="$37,296.00"/>
    <s v="2,29,104.00"/>
    <s v="$2,22,000.00"/>
    <n v="7104"/>
    <d v="2014-03-01T00:00:00"/>
    <n v="3"/>
    <x v="3"/>
    <x v="0"/>
    <s v="Small"/>
  </r>
  <r>
    <x v="3"/>
    <x v="4"/>
    <x v="5"/>
    <s v="High"/>
    <n v="2844"/>
    <s v="$260.00"/>
    <n v="125"/>
    <s v="$3,55,500.00"/>
    <s v="$49,770.00"/>
    <s v="3,05,730.00"/>
    <s v="$3,41,280.00"/>
    <n v="35550"/>
    <d v="2014-05-01T00:00:00"/>
    <n v="5"/>
    <x v="11"/>
    <x v="0"/>
    <s v="Midium"/>
  </r>
  <r>
    <x v="2"/>
    <x v="2"/>
    <x v="5"/>
    <s v="High"/>
    <n v="2475"/>
    <s v="$260.00"/>
    <n v="12"/>
    <s v="$29,700.00"/>
    <s v="$4,158.00"/>
    <n v="25542"/>
    <s v="$7,425.00"/>
    <n v="18117"/>
    <d v="2014-08-01T00:00:00"/>
    <n v="8"/>
    <x v="5"/>
    <x v="0"/>
    <s v="Midium"/>
  </r>
  <r>
    <x v="1"/>
    <x v="0"/>
    <x v="5"/>
    <s v="High"/>
    <n v="1743"/>
    <s v="$260.00"/>
    <n v="15"/>
    <s v="$26,145.00"/>
    <s v="$3,660.30"/>
    <n v="22484.7"/>
    <s v="$17,430.00"/>
    <n v="5054.7"/>
    <d v="2013-10-01T00:00:00"/>
    <n v="10"/>
    <x v="7"/>
    <x v="1"/>
    <s v="Midium"/>
  </r>
  <r>
    <x v="2"/>
    <x v="4"/>
    <x v="5"/>
    <s v="High"/>
    <n v="2914"/>
    <s v="$260.00"/>
    <n v="12"/>
    <s v="$34,968.00"/>
    <s v="$4,895.52"/>
    <n v="30072.48"/>
    <s v="$8,742.00"/>
    <n v="21330.48"/>
    <d v="2014-10-01T00:00:00"/>
    <n v="10"/>
    <x v="7"/>
    <x v="0"/>
    <s v="Midium"/>
  </r>
  <r>
    <x v="0"/>
    <x v="2"/>
    <x v="5"/>
    <s v="High"/>
    <n v="1731"/>
    <s v="$260.00"/>
    <n v="7"/>
    <s v="$12,117.00"/>
    <s v="$1,696.38"/>
    <n v="10420.620000000001"/>
    <s v="$8,655.00"/>
    <n v="1765.62"/>
    <d v="2014-10-01T00:00:00"/>
    <n v="10"/>
    <x v="7"/>
    <x v="0"/>
    <s v="Midium"/>
  </r>
  <r>
    <x v="0"/>
    <x v="3"/>
    <x v="5"/>
    <s v="High"/>
    <n v="1727"/>
    <s v="$260.00"/>
    <n v="7"/>
    <s v="$12,089.00"/>
    <s v="$1,692.46"/>
    <n v="10396.540000000001"/>
    <s v="$8,635.00"/>
    <n v="1761.54"/>
    <d v="2013-10-01T00:00:00"/>
    <n v="10"/>
    <x v="7"/>
    <x v="1"/>
    <s v="Midium"/>
  </r>
  <r>
    <x v="1"/>
    <x v="3"/>
    <x v="5"/>
    <s v="High"/>
    <n v="1870"/>
    <s v="$260.00"/>
    <n v="15"/>
    <s v="$28,050.00"/>
    <s v="$3,927.00"/>
    <n v="24123"/>
    <s v="$18,700.00"/>
    <n v="5423"/>
    <d v="2013-11-01T00:00:00"/>
    <n v="11"/>
    <x v="9"/>
    <x v="1"/>
    <s v="Midium"/>
  </r>
  <r>
    <x v="3"/>
    <x v="2"/>
    <x v="0"/>
    <s v="High"/>
    <n v="1174"/>
    <s v="$3.00"/>
    <n v="125"/>
    <s v="$1,46,750.00"/>
    <s v="$22,012.50"/>
    <s v="1,24,737.50"/>
    <s v="$1,40,880.00"/>
    <n v="16142.5"/>
    <d v="2014-08-01T00:00:00"/>
    <n v="8"/>
    <x v="5"/>
    <x v="0"/>
    <s v="Small"/>
  </r>
  <r>
    <x v="3"/>
    <x v="1"/>
    <x v="0"/>
    <s v="High"/>
    <n v="2767"/>
    <s v="$3.00"/>
    <n v="125"/>
    <s v="$3,45,875.00"/>
    <s v="$51,881.25"/>
    <s v="2,93,993.75"/>
    <s v="$3,32,040.00"/>
    <n v="38046.25"/>
    <d v="2014-08-01T00:00:00"/>
    <n v="8"/>
    <x v="5"/>
    <x v="0"/>
    <s v="Midium"/>
  </r>
  <r>
    <x v="3"/>
    <x v="1"/>
    <x v="0"/>
    <s v="High"/>
    <n v="1085"/>
    <s v="$3.00"/>
    <n v="125"/>
    <s v="$1,35,625.00"/>
    <s v="$20,343.75"/>
    <s v="1,15,281.25"/>
    <s v="$1,30,200.00"/>
    <n v="14918.75"/>
    <d v="2014-10-01T00:00:00"/>
    <n v="10"/>
    <x v="7"/>
    <x v="0"/>
    <s v="Small"/>
  </r>
  <r>
    <x v="4"/>
    <x v="3"/>
    <x v="1"/>
    <s v="High"/>
    <n v="546"/>
    <s v="$5.00"/>
    <n v="300"/>
    <s v="$1,63,800.00"/>
    <s v="$24,570.00"/>
    <s v="1,39,230.00"/>
    <s v="$1,36,500.00"/>
    <n v="2730"/>
    <d v="2014-10-01T00:00:00"/>
    <n v="10"/>
    <x v="7"/>
    <x v="0"/>
    <s v="Small"/>
  </r>
  <r>
    <x v="0"/>
    <x v="1"/>
    <x v="2"/>
    <s v="High"/>
    <n v="1158"/>
    <s v="$10.00"/>
    <n v="20"/>
    <s v="$23,160.00"/>
    <s v="$3,474.00"/>
    <n v="19686"/>
    <s v="$11,580.00"/>
    <n v="8106"/>
    <d v="2014-03-01T00:00:00"/>
    <n v="3"/>
    <x v="3"/>
    <x v="0"/>
    <s v="Small"/>
  </r>
  <r>
    <x v="1"/>
    <x v="0"/>
    <x v="2"/>
    <s v="High"/>
    <n v="1614"/>
    <s v="$10.00"/>
    <n v="15"/>
    <s v="$24,210.00"/>
    <s v="$3,631.50"/>
    <n v="20578.5"/>
    <s v="$16,140.00"/>
    <n v="4438.5"/>
    <d v="2014-04-01T00:00:00"/>
    <n v="4"/>
    <x v="10"/>
    <x v="0"/>
    <s v="Midium"/>
  </r>
  <r>
    <x v="0"/>
    <x v="3"/>
    <x v="2"/>
    <s v="High"/>
    <n v="2535"/>
    <s v="$10.00"/>
    <n v="7"/>
    <s v="$17,745.00"/>
    <s v="$2,661.75"/>
    <n v="15083.25"/>
    <s v="$12,675.00"/>
    <n v="2408.25"/>
    <d v="2014-04-01T00:00:00"/>
    <n v="4"/>
    <x v="10"/>
    <x v="0"/>
    <s v="Midium"/>
  </r>
  <r>
    <x v="0"/>
    <x v="3"/>
    <x v="2"/>
    <s v="High"/>
    <n v="2851"/>
    <s v="$10.00"/>
    <n v="350"/>
    <s v="$9,97,850.00"/>
    <s v="$1,49,677.50"/>
    <s v="8,48,172.50"/>
    <s v="$7,41,260.00"/>
    <s v="1,06,912.50"/>
    <d v="2014-05-01T00:00:00"/>
    <n v="5"/>
    <x v="11"/>
    <x v="0"/>
    <s v="Midium"/>
  </r>
  <r>
    <x v="1"/>
    <x v="0"/>
    <x v="2"/>
    <s v="High"/>
    <n v="2559"/>
    <s v="$10.00"/>
    <n v="15"/>
    <s v="$38,385.00"/>
    <s v="$5,757.75"/>
    <n v="32627.25"/>
    <s v="$25,590.00"/>
    <n v="7037.25"/>
    <d v="2014-08-01T00:00:00"/>
    <n v="8"/>
    <x v="5"/>
    <x v="0"/>
    <s v="Midium"/>
  </r>
  <r>
    <x v="0"/>
    <x v="4"/>
    <x v="2"/>
    <s v="High"/>
    <n v="267"/>
    <s v="$10.00"/>
    <n v="20"/>
    <s v="$5,340.00"/>
    <s v="$801.00"/>
    <n v="4539"/>
    <s v="$2,670.00"/>
    <n v="1869"/>
    <d v="2013-10-01T00:00:00"/>
    <n v="10"/>
    <x v="7"/>
    <x v="1"/>
    <s v="Small"/>
  </r>
  <r>
    <x v="3"/>
    <x v="1"/>
    <x v="2"/>
    <s v="High"/>
    <n v="1085"/>
    <s v="$10.00"/>
    <n v="125"/>
    <s v="$1,35,625.00"/>
    <s v="$20,343.75"/>
    <s v="1,15,281.25"/>
    <s v="$1,30,200.00"/>
    <n v="14918.75"/>
    <d v="2014-10-01T00:00:00"/>
    <n v="10"/>
    <x v="7"/>
    <x v="0"/>
    <s v="Small"/>
  </r>
  <r>
    <x v="1"/>
    <x v="1"/>
    <x v="2"/>
    <s v="High"/>
    <n v="1175"/>
    <s v="$10.00"/>
    <n v="15"/>
    <s v="$17,625.00"/>
    <s v="$2,643.75"/>
    <n v="14981.25"/>
    <s v="$11,750.00"/>
    <n v="3231.25"/>
    <d v="2014-10-01T00:00:00"/>
    <n v="10"/>
    <x v="7"/>
    <x v="0"/>
    <s v="Small"/>
  </r>
  <r>
    <x v="0"/>
    <x v="4"/>
    <x v="2"/>
    <s v="High"/>
    <n v="2007"/>
    <s v="$10.00"/>
    <n v="350"/>
    <s v="$7,02,450.00"/>
    <s v="$1,05,367.50"/>
    <s v="5,97,082.50"/>
    <s v="$5,21,820.00"/>
    <n v="75262.5"/>
    <d v="2013-11-01T00:00:00"/>
    <n v="11"/>
    <x v="9"/>
    <x v="1"/>
    <s v="Midium"/>
  </r>
  <r>
    <x v="0"/>
    <x v="3"/>
    <x v="2"/>
    <s v="High"/>
    <n v="2151"/>
    <s v="$10.00"/>
    <n v="350"/>
    <s v="$7,52,850.00"/>
    <s v="$1,12,927.50"/>
    <s v="6,39,922.50"/>
    <s v="$5,59,260.00"/>
    <n v="80662.5"/>
    <d v="2013-11-01T00:00:00"/>
    <n v="11"/>
    <x v="9"/>
    <x v="1"/>
    <s v="Midium"/>
  </r>
  <r>
    <x v="2"/>
    <x v="4"/>
    <x v="2"/>
    <s v="High"/>
    <n v="914"/>
    <s v="$10.00"/>
    <n v="12"/>
    <s v="$10,968.00"/>
    <s v="$1,645.20"/>
    <n v="9322.7999999999993"/>
    <s v="$2,742.00"/>
    <n v="6580.8"/>
    <d v="2014-12-01T00:00:00"/>
    <n v="12"/>
    <x v="2"/>
    <x v="0"/>
    <s v="Small"/>
  </r>
  <r>
    <x v="0"/>
    <x v="2"/>
    <x v="2"/>
    <s v="High"/>
    <n v="293"/>
    <s v="$10.00"/>
    <n v="20"/>
    <s v="$5,860.00"/>
    <s v="$879.00"/>
    <n v="4981"/>
    <s v="$2,930.00"/>
    <n v="2051"/>
    <d v="2014-12-01T00:00:00"/>
    <n v="12"/>
    <x v="2"/>
    <x v="0"/>
    <s v="Small"/>
  </r>
  <r>
    <x v="2"/>
    <x v="3"/>
    <x v="3"/>
    <s v="High"/>
    <n v="500"/>
    <s v="$120.00"/>
    <n v="12"/>
    <s v="$6,000.00"/>
    <s v="$900.00"/>
    <n v="5100"/>
    <s v="$1,500.00"/>
    <n v="3600"/>
    <d v="2014-03-01T00:00:00"/>
    <n v="3"/>
    <x v="3"/>
    <x v="0"/>
    <s v="Small"/>
  </r>
  <r>
    <x v="1"/>
    <x v="2"/>
    <x v="3"/>
    <s v="High"/>
    <n v="2826"/>
    <s v="$120.00"/>
    <n v="15"/>
    <s v="$42,390.00"/>
    <s v="$6,358.50"/>
    <n v="36031.5"/>
    <s v="$28,260.00"/>
    <n v="7771.5"/>
    <d v="2014-05-01T00:00:00"/>
    <n v="5"/>
    <x v="11"/>
    <x v="0"/>
    <s v="Midium"/>
  </r>
  <r>
    <x v="3"/>
    <x v="2"/>
    <x v="3"/>
    <s v="High"/>
    <n v="663"/>
    <s v="$120.00"/>
    <n v="125"/>
    <s v="$82,875.00"/>
    <s v="$12,431.25"/>
    <n v="70443.75"/>
    <s v="$79,560.00"/>
    <n v="9116.25"/>
    <d v="2014-09-01T00:00:00"/>
    <n v="9"/>
    <x v="6"/>
    <x v="0"/>
    <s v="Small"/>
  </r>
  <r>
    <x v="4"/>
    <x v="4"/>
    <x v="3"/>
    <s v="High"/>
    <n v="2574"/>
    <s v="$120.00"/>
    <n v="300"/>
    <s v="$7,72,200.00"/>
    <s v="$1,15,830.00"/>
    <s v="6,56,370.00"/>
    <s v="$6,43,500.00"/>
    <n v="12870"/>
    <d v="2013-11-01T00:00:00"/>
    <n v="11"/>
    <x v="9"/>
    <x v="1"/>
    <s v="Midium"/>
  </r>
  <r>
    <x v="3"/>
    <x v="4"/>
    <x v="3"/>
    <s v="High"/>
    <n v="2438"/>
    <s v="$120.00"/>
    <n v="125"/>
    <s v="$3,04,750.00"/>
    <s v="$45,712.50"/>
    <s v="2,59,037.50"/>
    <s v="$2,92,560.00"/>
    <n v="33522.5"/>
    <d v="2013-12-01T00:00:00"/>
    <n v="12"/>
    <x v="2"/>
    <x v="1"/>
    <s v="Midium"/>
  </r>
  <r>
    <x v="2"/>
    <x v="4"/>
    <x v="3"/>
    <s v="High"/>
    <n v="914"/>
    <s v="$120.00"/>
    <n v="12"/>
    <s v="$10,968.00"/>
    <s v="$1,645.20"/>
    <n v="9322.7999999999993"/>
    <s v="$2,742.00"/>
    <n v="6580.8"/>
    <d v="2014-12-01T00:00:00"/>
    <n v="12"/>
    <x v="2"/>
    <x v="0"/>
    <s v="Small"/>
  </r>
  <r>
    <x v="0"/>
    <x v="0"/>
    <x v="4"/>
    <s v="High"/>
    <n v="865.5"/>
    <s v="$250.00"/>
    <n v="20"/>
    <s v="$17,310.00"/>
    <s v="$2,596.50"/>
    <n v="14713.5"/>
    <s v="$8,655.00"/>
    <n v="6058.5"/>
    <d v="2014-07-01T00:00:00"/>
    <n v="7"/>
    <x v="4"/>
    <x v="0"/>
    <s v="Small"/>
  </r>
  <r>
    <x v="1"/>
    <x v="1"/>
    <x v="4"/>
    <s v="High"/>
    <n v="492"/>
    <s v="$250.00"/>
    <n v="15"/>
    <s v="$7,380.00"/>
    <s v="$1,107.00"/>
    <n v="6273"/>
    <s v="$4,920.00"/>
    <n v="1353"/>
    <d v="2014-07-01T00:00:00"/>
    <n v="7"/>
    <x v="4"/>
    <x v="0"/>
    <s v="Small"/>
  </r>
  <r>
    <x v="0"/>
    <x v="4"/>
    <x v="4"/>
    <s v="High"/>
    <n v="267"/>
    <s v="$250.00"/>
    <n v="20"/>
    <s v="$5,340.00"/>
    <s v="$801.00"/>
    <n v="4539"/>
    <s v="$2,670.00"/>
    <n v="1869"/>
    <d v="2013-10-01T00:00:00"/>
    <n v="10"/>
    <x v="7"/>
    <x v="1"/>
    <s v="Small"/>
  </r>
  <r>
    <x v="1"/>
    <x v="1"/>
    <x v="4"/>
    <s v="High"/>
    <n v="1175"/>
    <s v="$250.00"/>
    <n v="15"/>
    <s v="$17,625.00"/>
    <s v="$2,643.75"/>
    <n v="14981.25"/>
    <s v="$11,750.00"/>
    <n v="3231.25"/>
    <d v="2014-10-01T00:00:00"/>
    <n v="10"/>
    <x v="7"/>
    <x v="0"/>
    <s v="Small"/>
  </r>
  <r>
    <x v="3"/>
    <x v="0"/>
    <x v="4"/>
    <s v="High"/>
    <n v="2954"/>
    <s v="$250.00"/>
    <n v="125"/>
    <s v="$3,69,250.00"/>
    <s v="$55,387.50"/>
    <s v="3,13,862.50"/>
    <s v="$3,54,480.00"/>
    <n v="40617.5"/>
    <d v="2013-11-01T00:00:00"/>
    <n v="11"/>
    <x v="9"/>
    <x v="1"/>
    <s v="Midium"/>
  </r>
  <r>
    <x v="3"/>
    <x v="1"/>
    <x v="4"/>
    <s v="High"/>
    <n v="552"/>
    <s v="$250.00"/>
    <n v="125"/>
    <s v="$69,000.00"/>
    <s v="$10,350.00"/>
    <n v="58650"/>
    <s v="$66,240.00"/>
    <n v="7590"/>
    <d v="2014-11-01T00:00:00"/>
    <n v="11"/>
    <x v="9"/>
    <x v="0"/>
    <s v="Small"/>
  </r>
  <r>
    <x v="0"/>
    <x v="2"/>
    <x v="4"/>
    <s v="High"/>
    <n v="293"/>
    <s v="$250.00"/>
    <n v="20"/>
    <s v="$5,860.00"/>
    <s v="$879.00"/>
    <n v="4981"/>
    <s v="$2,930.00"/>
    <n v="2051"/>
    <d v="2014-12-01T00:00:00"/>
    <n v="12"/>
    <x v="2"/>
    <x v="0"/>
    <s v="Small"/>
  </r>
  <r>
    <x v="4"/>
    <x v="2"/>
    <x v="5"/>
    <s v="High"/>
    <n v="2475"/>
    <s v="$260.00"/>
    <n v="300"/>
    <s v="$7,42,500.00"/>
    <s v="$1,11,375.00"/>
    <s v="6,31,125.00"/>
    <s v="$6,18,750.00"/>
    <n v="12375"/>
    <d v="2014-03-01T00:00:00"/>
    <n v="3"/>
    <x v="3"/>
    <x v="0"/>
    <s v="Midium"/>
  </r>
  <r>
    <x v="4"/>
    <x v="3"/>
    <x v="5"/>
    <s v="High"/>
    <n v="546"/>
    <s v="$260.00"/>
    <n v="300"/>
    <s v="$1,63,800.00"/>
    <s v="$24,570.00"/>
    <s v="1,39,230.00"/>
    <s v="$1,36,500.00"/>
    <n v="2730"/>
    <d v="2014-10-01T00:00:00"/>
    <n v="10"/>
    <x v="7"/>
    <x v="0"/>
    <s v="Small"/>
  </r>
  <r>
    <x v="0"/>
    <x v="3"/>
    <x v="1"/>
    <s v="High"/>
    <n v="1368"/>
    <s v="$5.00"/>
    <n v="7"/>
    <s v="$9,576.00"/>
    <s v="$1,436.40"/>
    <n v="8139.6"/>
    <s v="$6,840.00"/>
    <n v="1299.5999999999999"/>
    <d v="2014-02-01T00:00:00"/>
    <n v="2"/>
    <x v="8"/>
    <x v="0"/>
    <s v="Small"/>
  </r>
  <r>
    <x v="0"/>
    <x v="0"/>
    <x v="2"/>
    <s v="High"/>
    <n v="723"/>
    <s v="$10.00"/>
    <n v="7"/>
    <s v="$5,061.00"/>
    <s v="$759.15"/>
    <n v="4301.8500000000004"/>
    <s v="$3,615.00"/>
    <n v="686.85"/>
    <d v="2014-04-01T00:00:00"/>
    <n v="4"/>
    <x v="10"/>
    <x v="0"/>
    <s v="Small"/>
  </r>
  <r>
    <x v="2"/>
    <x v="4"/>
    <x v="4"/>
    <s v="High"/>
    <n v="1806"/>
    <s v="$250.00"/>
    <n v="12"/>
    <s v="$21,672.00"/>
    <s v="$3,250.80"/>
    <n v="18421.2"/>
    <s v="$5,418.00"/>
    <n v="13003.2"/>
    <d v="2014-05-01T00:00:00"/>
    <n v="5"/>
    <x v="11"/>
    <x v="0"/>
    <s v="Midiu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60CCDA-0148-4459-948F-4650BCA9CF04}"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3:M22" firstHeaderRow="1" firstDataRow="3" firstDataCol="1"/>
  <pivotFields count="17">
    <pivotField axis="axisCol" showAll="0">
      <items count="6">
        <item x="2"/>
        <item x="3"/>
        <item x="0"/>
        <item x="1"/>
        <item x="4"/>
        <item t="default"/>
      </items>
    </pivotField>
    <pivotField showAll="0">
      <items count="6">
        <item x="0"/>
        <item x="2"/>
        <item x="1"/>
        <item x="3"/>
        <item x="4"/>
        <item t="default"/>
      </items>
    </pivotField>
    <pivotField axis="axisRow" showAll="0">
      <items count="7">
        <item x="5"/>
        <item x="0"/>
        <item x="1"/>
        <item x="2"/>
        <item x="3"/>
        <item x="4"/>
        <item t="default"/>
      </items>
    </pivotField>
    <pivotField showAll="0"/>
    <pivotField numFmtId="1" showAll="0"/>
    <pivotField showAll="0"/>
    <pivotField numFmtId="170" showAll="0"/>
    <pivotField showAll="0"/>
    <pivotField showAll="0"/>
    <pivotField dataField="1" showAll="0"/>
    <pivotField showAll="0"/>
    <pivotField dataField="1" showAll="0"/>
    <pivotField numFmtId="14" showAll="0"/>
    <pivotField numFmtId="1" showAll="0"/>
    <pivotField showAll="0"/>
    <pivotField numFmtId="1" showAll="0"/>
    <pivotField showAll="0"/>
  </pivotFields>
  <rowFields count="1">
    <field x="2"/>
  </rowFields>
  <rowItems count="7">
    <i>
      <x/>
    </i>
    <i>
      <x v="1"/>
    </i>
    <i>
      <x v="2"/>
    </i>
    <i>
      <x v="3"/>
    </i>
    <i>
      <x v="4"/>
    </i>
    <i>
      <x v="5"/>
    </i>
    <i t="grand">
      <x/>
    </i>
  </rowItems>
  <colFields count="2">
    <field x="0"/>
    <field x="-2"/>
  </colFields>
  <colItems count="12">
    <i>
      <x/>
      <x/>
    </i>
    <i r="1" i="1">
      <x v="1"/>
    </i>
    <i>
      <x v="1"/>
      <x/>
    </i>
    <i r="1" i="1">
      <x v="1"/>
    </i>
    <i>
      <x v="2"/>
      <x/>
    </i>
    <i r="1" i="1">
      <x v="1"/>
    </i>
    <i>
      <x v="3"/>
      <x/>
    </i>
    <i r="1" i="1">
      <x v="1"/>
    </i>
    <i>
      <x v="4"/>
      <x/>
    </i>
    <i r="1" i="1">
      <x v="1"/>
    </i>
    <i t="grand">
      <x/>
    </i>
    <i t="grand" i="1">
      <x/>
    </i>
  </colItems>
  <dataFields count="2">
    <dataField name="Sum of Profit" fld="11" baseField="2" baseItem="2"/>
    <dataField name="Sum of Sales" fld="9" baseField="2" baseItem="2"/>
  </dataFields>
  <formats count="1">
    <format dxfId="3">
      <pivotArea outline="0" collapsedLevelsAreSubtotals="1" fieldPosition="0"/>
    </format>
  </formats>
  <chartFormats count="30">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1"/>
          </reference>
          <reference field="0" count="1" selected="0">
            <x v="0"/>
          </reference>
        </references>
      </pivotArea>
    </chartFormat>
    <chartFormat chart="0" format="2" series="1">
      <pivotArea type="data" outline="0" fieldPosition="0">
        <references count="2">
          <reference field="4294967294" count="1" selected="0">
            <x v="0"/>
          </reference>
          <reference field="0" count="1" selected="0">
            <x v="1"/>
          </reference>
        </references>
      </pivotArea>
    </chartFormat>
    <chartFormat chart="0" format="3" series="1">
      <pivotArea type="data" outline="0" fieldPosition="0">
        <references count="2">
          <reference field="4294967294" count="1" selected="0">
            <x v="1"/>
          </reference>
          <reference field="0" count="1" selected="0">
            <x v="1"/>
          </reference>
        </references>
      </pivotArea>
    </chartFormat>
    <chartFormat chart="0" format="4" series="1">
      <pivotArea type="data" outline="0" fieldPosition="0">
        <references count="2">
          <reference field="4294967294" count="1" selected="0">
            <x v="0"/>
          </reference>
          <reference field="0" count="1" selected="0">
            <x v="2"/>
          </reference>
        </references>
      </pivotArea>
    </chartFormat>
    <chartFormat chart="0" format="5" series="1">
      <pivotArea type="data" outline="0" fieldPosition="0">
        <references count="2">
          <reference field="4294967294" count="1" selected="0">
            <x v="1"/>
          </reference>
          <reference field="0" count="1" selected="0">
            <x v="2"/>
          </reference>
        </references>
      </pivotArea>
    </chartFormat>
    <chartFormat chart="0" format="6" series="1">
      <pivotArea type="data" outline="0" fieldPosition="0">
        <references count="2">
          <reference field="4294967294" count="1" selected="0">
            <x v="0"/>
          </reference>
          <reference field="0" count="1" selected="0">
            <x v="3"/>
          </reference>
        </references>
      </pivotArea>
    </chartFormat>
    <chartFormat chart="0" format="7" series="1">
      <pivotArea type="data" outline="0" fieldPosition="0">
        <references count="2">
          <reference field="4294967294" count="1" selected="0">
            <x v="1"/>
          </reference>
          <reference field="0" count="1" selected="0">
            <x v="3"/>
          </reference>
        </references>
      </pivotArea>
    </chartFormat>
    <chartFormat chart="0" format="8" series="1">
      <pivotArea type="data" outline="0" fieldPosition="0">
        <references count="2">
          <reference field="4294967294" count="1" selected="0">
            <x v="0"/>
          </reference>
          <reference field="0" count="1" selected="0">
            <x v="4"/>
          </reference>
        </references>
      </pivotArea>
    </chartFormat>
    <chartFormat chart="0" format="9" series="1">
      <pivotArea type="data" outline="0" fieldPosition="0">
        <references count="2">
          <reference field="4294967294" count="1" selected="0">
            <x v="1"/>
          </reference>
          <reference field="0" count="1" selected="0">
            <x v="4"/>
          </reference>
        </references>
      </pivotArea>
    </chartFormat>
    <chartFormat chart="2" format="10" series="1">
      <pivotArea type="data" outline="0" fieldPosition="0">
        <references count="2">
          <reference field="4294967294" count="1" selected="0">
            <x v="0"/>
          </reference>
          <reference field="0" count="1" selected="0">
            <x v="0"/>
          </reference>
        </references>
      </pivotArea>
    </chartFormat>
    <chartFormat chart="2" format="11" series="1">
      <pivotArea type="data" outline="0" fieldPosition="0">
        <references count="2">
          <reference field="4294967294" count="1" selected="0">
            <x v="1"/>
          </reference>
          <reference field="0" count="1" selected="0">
            <x v="0"/>
          </reference>
        </references>
      </pivotArea>
    </chartFormat>
    <chartFormat chart="2" format="12" series="1">
      <pivotArea type="data" outline="0" fieldPosition="0">
        <references count="2">
          <reference field="4294967294" count="1" selected="0">
            <x v="0"/>
          </reference>
          <reference field="0" count="1" selected="0">
            <x v="1"/>
          </reference>
        </references>
      </pivotArea>
    </chartFormat>
    <chartFormat chart="2" format="13" series="1">
      <pivotArea type="data" outline="0" fieldPosition="0">
        <references count="2">
          <reference field="4294967294" count="1" selected="0">
            <x v="1"/>
          </reference>
          <reference field="0" count="1" selected="0">
            <x v="1"/>
          </reference>
        </references>
      </pivotArea>
    </chartFormat>
    <chartFormat chart="2" format="14" series="1">
      <pivotArea type="data" outline="0" fieldPosition="0">
        <references count="2">
          <reference field="4294967294" count="1" selected="0">
            <x v="0"/>
          </reference>
          <reference field="0" count="1" selected="0">
            <x v="2"/>
          </reference>
        </references>
      </pivotArea>
    </chartFormat>
    <chartFormat chart="2" format="15" series="1">
      <pivotArea type="data" outline="0" fieldPosition="0">
        <references count="2">
          <reference field="4294967294" count="1" selected="0">
            <x v="1"/>
          </reference>
          <reference field="0" count="1" selected="0">
            <x v="2"/>
          </reference>
        </references>
      </pivotArea>
    </chartFormat>
    <chartFormat chart="2" format="16" series="1">
      <pivotArea type="data" outline="0" fieldPosition="0">
        <references count="2">
          <reference field="4294967294" count="1" selected="0">
            <x v="0"/>
          </reference>
          <reference field="0" count="1" selected="0">
            <x v="3"/>
          </reference>
        </references>
      </pivotArea>
    </chartFormat>
    <chartFormat chart="2" format="17" series="1">
      <pivotArea type="data" outline="0" fieldPosition="0">
        <references count="2">
          <reference field="4294967294" count="1" selected="0">
            <x v="1"/>
          </reference>
          <reference field="0" count="1" selected="0">
            <x v="3"/>
          </reference>
        </references>
      </pivotArea>
    </chartFormat>
    <chartFormat chart="2" format="18" series="1">
      <pivotArea type="data" outline="0" fieldPosition="0">
        <references count="2">
          <reference field="4294967294" count="1" selected="0">
            <x v="0"/>
          </reference>
          <reference field="0" count="1" selected="0">
            <x v="4"/>
          </reference>
        </references>
      </pivotArea>
    </chartFormat>
    <chartFormat chart="2" format="19" series="1">
      <pivotArea type="data" outline="0" fieldPosition="0">
        <references count="2">
          <reference field="4294967294" count="1" selected="0">
            <x v="1"/>
          </reference>
          <reference field="0" count="1" selected="0">
            <x v="4"/>
          </reference>
        </references>
      </pivotArea>
    </chartFormat>
    <chartFormat chart="3" format="0" series="1">
      <pivotArea type="data" outline="0" fieldPosition="0">
        <references count="2">
          <reference field="4294967294" count="1" selected="0">
            <x v="0"/>
          </reference>
          <reference field="0" count="1" selected="0">
            <x v="0"/>
          </reference>
        </references>
      </pivotArea>
    </chartFormat>
    <chartFormat chart="3" format="1" series="1">
      <pivotArea type="data" outline="0" fieldPosition="0">
        <references count="2">
          <reference field="4294967294" count="1" selected="0">
            <x v="1"/>
          </reference>
          <reference field="0" count="1" selected="0">
            <x v="0"/>
          </reference>
        </references>
      </pivotArea>
    </chartFormat>
    <chartFormat chart="3" format="2" series="1">
      <pivotArea type="data" outline="0" fieldPosition="0">
        <references count="2">
          <reference field="4294967294" count="1" selected="0">
            <x v="0"/>
          </reference>
          <reference field="0" count="1" selected="0">
            <x v="1"/>
          </reference>
        </references>
      </pivotArea>
    </chartFormat>
    <chartFormat chart="3" format="3" series="1">
      <pivotArea type="data" outline="0" fieldPosition="0">
        <references count="2">
          <reference field="4294967294" count="1" selected="0">
            <x v="1"/>
          </reference>
          <reference field="0" count="1" selected="0">
            <x v="1"/>
          </reference>
        </references>
      </pivotArea>
    </chartFormat>
    <chartFormat chart="3" format="4" series="1">
      <pivotArea type="data" outline="0" fieldPosition="0">
        <references count="2">
          <reference field="4294967294" count="1" selected="0">
            <x v="0"/>
          </reference>
          <reference field="0" count="1" selected="0">
            <x v="2"/>
          </reference>
        </references>
      </pivotArea>
    </chartFormat>
    <chartFormat chart="3" format="5" series="1">
      <pivotArea type="data" outline="0" fieldPosition="0">
        <references count="2">
          <reference field="4294967294" count="1" selected="0">
            <x v="1"/>
          </reference>
          <reference field="0" count="1" selected="0">
            <x v="2"/>
          </reference>
        </references>
      </pivotArea>
    </chartFormat>
    <chartFormat chart="3" format="6" series="1">
      <pivotArea type="data" outline="0" fieldPosition="0">
        <references count="2">
          <reference field="4294967294" count="1" selected="0">
            <x v="0"/>
          </reference>
          <reference field="0" count="1" selected="0">
            <x v="3"/>
          </reference>
        </references>
      </pivotArea>
    </chartFormat>
    <chartFormat chart="3" format="7" series="1">
      <pivotArea type="data" outline="0" fieldPosition="0">
        <references count="2">
          <reference field="4294967294" count="1" selected="0">
            <x v="1"/>
          </reference>
          <reference field="0" count="1" selected="0">
            <x v="3"/>
          </reference>
        </references>
      </pivotArea>
    </chartFormat>
    <chartFormat chart="3" format="8" series="1">
      <pivotArea type="data" outline="0" fieldPosition="0">
        <references count="2">
          <reference field="4294967294" count="1" selected="0">
            <x v="0"/>
          </reference>
          <reference field="0" count="1" selected="0">
            <x v="4"/>
          </reference>
        </references>
      </pivotArea>
    </chartFormat>
    <chartFormat chart="3" format="9" series="1">
      <pivotArea type="data" outline="0" fieldPosition="0">
        <references count="2">
          <reference field="4294967294" count="1" selected="0">
            <x v="1"/>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B4FBC5-B636-44FB-B1A1-4D749922D158}"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9" firstHeaderRow="1" firstDataRow="1" firstDataCol="1"/>
  <pivotFields count="17">
    <pivotField showAll="0"/>
    <pivotField axis="axisRow" showAll="0">
      <items count="6">
        <item x="0"/>
        <item x="2"/>
        <item x="1"/>
        <item x="3"/>
        <item x="4"/>
        <item t="default"/>
      </items>
    </pivotField>
    <pivotField showAll="0"/>
    <pivotField showAll="0"/>
    <pivotField numFmtId="1" showAll="0"/>
    <pivotField showAll="0"/>
    <pivotField numFmtId="170" showAll="0"/>
    <pivotField showAll="0"/>
    <pivotField showAll="0"/>
    <pivotField showAll="0"/>
    <pivotField showAll="0"/>
    <pivotField dataField="1" showAll="0"/>
    <pivotField numFmtId="14" showAll="0"/>
    <pivotField numFmtId="1" showAll="0"/>
    <pivotField showAll="0">
      <items count="13">
        <item x="0"/>
        <item x="8"/>
        <item x="3"/>
        <item x="10"/>
        <item x="11"/>
        <item x="1"/>
        <item x="4"/>
        <item x="5"/>
        <item x="6"/>
        <item x="7"/>
        <item x="9"/>
        <item x="2"/>
        <item t="default"/>
      </items>
    </pivotField>
    <pivotField numFmtId="1" showAll="0">
      <items count="3">
        <item x="1"/>
        <item x="0"/>
        <item t="default"/>
      </items>
    </pivotField>
    <pivotField showAll="0"/>
  </pivotFields>
  <rowFields count="1">
    <field x="1"/>
  </rowFields>
  <rowItems count="6">
    <i>
      <x/>
    </i>
    <i>
      <x v="1"/>
    </i>
    <i>
      <x v="2"/>
    </i>
    <i>
      <x v="3"/>
    </i>
    <i>
      <x v="4"/>
    </i>
    <i t="grand">
      <x/>
    </i>
  </rowItems>
  <colItems count="1">
    <i/>
  </colItems>
  <dataFields count="1">
    <dataField name="Sum of Profit" fld="11" baseField="1" baseItem="0" numFmtId="170"/>
  </dataFields>
  <formats count="2">
    <format dxfId="8">
      <pivotArea outline="0" collapsedLevelsAreSubtotals="1" fieldPosition="0"/>
    </format>
    <format dxfId="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Name" xr10:uid="{C0E5DCE7-DBF5-4A45-8571-819B5F7B5972}" sourceName="MonthName">
  <pivotTables>
    <pivotTable tabId="2" name="PivotTable1"/>
  </pivotTables>
  <data>
    <tabular pivotCacheId="1395891587">
      <items count="12">
        <i x="0" s="1"/>
        <i x="8" s="1"/>
        <i x="3" s="1"/>
        <i x="10" s="1"/>
        <i x="11" s="1"/>
        <i x="1" s="1"/>
        <i x="4" s="1"/>
        <i x="5" s="1"/>
        <i x="6" s="1"/>
        <i x="7" s="1"/>
        <i x="9"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7D17BED-723B-49AC-8880-D1F26782E5B2}" sourceName="Year">
  <pivotTables>
    <pivotTable tabId="2" name="PivotTable1"/>
  </pivotTables>
  <data>
    <tabular pivotCacheId="139589158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Name" xr10:uid="{72C46BCE-E09F-4BCF-9983-D334209433F2}" cache="Slicer_MonthName" caption="MonthName" rowHeight="234950"/>
  <slicer name="Year" xr10:uid="{BFF74AF3-77FC-4BD4-86AE-D2FF0FDE3D16}" cache="Slicer_Year" caption="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5DD426-9912-4EF9-950C-035C8A98A9DF}" name="Table1" displayName="Table1" ref="A1:Q701" totalsRowShown="0">
  <autoFilter ref="A1:Q701" xr:uid="{1D5DD426-9912-4EF9-950C-035C8A98A9DF}"/>
  <tableColumns count="17">
    <tableColumn id="1" xr3:uid="{6F51E2C9-E770-44E4-B4EA-EDFE5CF1011F}" name="Segment" dataDxfId="28"/>
    <tableColumn id="2" xr3:uid="{700B3732-4E37-4345-AC08-E4C9E4418CBD}" name="Country" dataDxfId="27"/>
    <tableColumn id="3" xr3:uid="{E857C354-89AA-4F4E-9815-A4D4844B3596}" name="Product" dataDxfId="26"/>
    <tableColumn id="4" xr3:uid="{3B627EC9-27A2-4674-8A6F-131646360B03}" name="DiscountBand" dataDxfId="21"/>
    <tableColumn id="5" xr3:uid="{FDA6E740-D737-443E-ADED-A13822E73E51}" name="UnitsSold" dataDxfId="20"/>
    <tableColumn id="6" xr3:uid="{C0A28319-FFBA-49AA-88C1-163D754F576D}" name="ManufacturingPrice" dataDxfId="18"/>
    <tableColumn id="7" xr3:uid="{60872AED-857B-4B2B-A47A-4343A1ADACB1}" name="SalePrice" dataDxfId="17"/>
    <tableColumn id="8" xr3:uid="{AD77A74D-FF2A-4F51-BCCE-F1167681A51A}" name="GrossSales" dataDxfId="16"/>
    <tableColumn id="9" xr3:uid="{F07E179E-FDB0-4888-B70A-ADC755A1D439}" name="Discounts" dataDxfId="15"/>
    <tableColumn id="10" xr3:uid="{769FF1A5-69B8-4986-BC1F-721751B412E1}" name="Sales" dataDxfId="14"/>
    <tableColumn id="11" xr3:uid="{92B6F09E-F65A-4820-B2DF-4AD89631BB09}" name="COGS" dataDxfId="13"/>
    <tableColumn id="12" xr3:uid="{846FEDEE-E2DB-4724-A51B-1F1FBF877612}" name="Profit" dataDxfId="12"/>
    <tableColumn id="13" xr3:uid="{CF54C2AA-FB5E-4996-B685-EAB16525ED63}" name="Date" dataDxfId="19"/>
    <tableColumn id="14" xr3:uid="{20CA371B-A872-4939-8D14-EABCB8771B67}" name="MonthNumber" dataDxfId="25"/>
    <tableColumn id="15" xr3:uid="{E09899FA-DBCC-4319-8023-F7DBA313B1D5}" name="MonthName" dataDxfId="24"/>
    <tableColumn id="16" xr3:uid="{274FA476-E00B-4A3F-914A-1553305ADB0C}" name="Year" dataDxfId="23"/>
    <tableColumn id="18" xr3:uid="{C4095B6C-5F75-42D0-A73D-B37ABD6CEB8F}" name="order size" dataDxfId="22">
      <calculatedColumnFormula>IF(Table1[[#This Row],[UnitsSold]]&gt;3000,"Large",IF(Table1[[#This Row],[UnitsSold]]&gt;1500,"Midium","Small"))</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1494B-7B25-4736-9793-B6CBF6F9D717}">
  <dimension ref="A3:M23"/>
  <sheetViews>
    <sheetView showGridLines="0" zoomScale="83" workbookViewId="0">
      <selection activeCell="H28" sqref="H28"/>
    </sheetView>
  </sheetViews>
  <sheetFormatPr defaultRowHeight="14.4" x14ac:dyDescent="0.3"/>
  <cols>
    <col min="1" max="1" width="20.5546875" bestFit="1" customWidth="1"/>
    <col min="2" max="2" width="14.88671875" bestFit="1" customWidth="1"/>
    <col min="3" max="3" width="16.77734375" bestFit="1" customWidth="1"/>
    <col min="4" max="4" width="15.21875" bestFit="1" customWidth="1"/>
    <col min="5" max="7" width="16.77734375" bestFit="1" customWidth="1"/>
    <col min="8" max="8" width="15.21875" bestFit="1" customWidth="1"/>
    <col min="9" max="10" width="16.77734375" bestFit="1" customWidth="1"/>
    <col min="11" max="11" width="15.21875" bestFit="1" customWidth="1"/>
    <col min="12" max="13" width="17.88671875" bestFit="1" customWidth="1"/>
  </cols>
  <sheetData>
    <row r="3" spans="1:13" x14ac:dyDescent="0.3">
      <c r="A3" s="10" t="s">
        <v>1903</v>
      </c>
      <c r="B3" s="7" t="s">
        <v>1907</v>
      </c>
    </row>
    <row r="4" spans="1:13" x14ac:dyDescent="0.3">
      <c r="A4" s="11" t="s">
        <v>5</v>
      </c>
      <c r="B4" s="7">
        <v>2528516.6400000006</v>
      </c>
    </row>
    <row r="5" spans="1:13" x14ac:dyDescent="0.3">
      <c r="A5" s="11" t="s">
        <v>8</v>
      </c>
      <c r="B5" s="7">
        <v>2054599.04</v>
      </c>
    </row>
    <row r="6" spans="1:13" x14ac:dyDescent="0.3">
      <c r="A6" s="11" t="s">
        <v>6</v>
      </c>
      <c r="B6" s="7">
        <v>2094667.8200000008</v>
      </c>
    </row>
    <row r="7" spans="1:13" x14ac:dyDescent="0.3">
      <c r="A7" s="11" t="s">
        <v>9</v>
      </c>
      <c r="B7" s="7">
        <v>2055120.1099999996</v>
      </c>
    </row>
    <row r="8" spans="1:13" x14ac:dyDescent="0.3">
      <c r="A8" s="11" t="s">
        <v>67</v>
      </c>
      <c r="B8" s="7">
        <v>2027470.6800000002</v>
      </c>
    </row>
    <row r="9" spans="1:13" x14ac:dyDescent="0.3">
      <c r="A9" s="11" t="s">
        <v>1904</v>
      </c>
      <c r="B9" s="7">
        <v>10760374.290000001</v>
      </c>
    </row>
    <row r="13" spans="1:13" x14ac:dyDescent="0.3">
      <c r="B13" s="10" t="s">
        <v>1905</v>
      </c>
    </row>
    <row r="14" spans="1:13" x14ac:dyDescent="0.3">
      <c r="B14" t="s">
        <v>47</v>
      </c>
      <c r="D14" t="s">
        <v>10</v>
      </c>
      <c r="F14" t="s">
        <v>4</v>
      </c>
      <c r="H14" t="s">
        <v>7</v>
      </c>
      <c r="J14" t="s">
        <v>57</v>
      </c>
      <c r="L14" t="s">
        <v>1906</v>
      </c>
      <c r="M14" t="s">
        <v>1908</v>
      </c>
    </row>
    <row r="15" spans="1:13" x14ac:dyDescent="0.3">
      <c r="A15" s="10" t="s">
        <v>1903</v>
      </c>
      <c r="B15" t="s">
        <v>1907</v>
      </c>
      <c r="C15" t="s">
        <v>1909</v>
      </c>
      <c r="D15" t="s">
        <v>1907</v>
      </c>
      <c r="E15" t="s">
        <v>1909</v>
      </c>
      <c r="F15" t="s">
        <v>1907</v>
      </c>
      <c r="G15" t="s">
        <v>1909</v>
      </c>
      <c r="H15" t="s">
        <v>1907</v>
      </c>
      <c r="I15" t="s">
        <v>1909</v>
      </c>
      <c r="J15" t="s">
        <v>1907</v>
      </c>
      <c r="K15" t="s">
        <v>1909</v>
      </c>
    </row>
    <row r="16" spans="1:13" x14ac:dyDescent="0.3">
      <c r="A16" s="11" t="s">
        <v>122</v>
      </c>
      <c r="B16" s="7">
        <v>230068.5</v>
      </c>
      <c r="C16" s="7">
        <v>317643</v>
      </c>
      <c r="D16" s="7">
        <v>148727.5</v>
      </c>
      <c r="E16" s="7">
        <v>65137.5</v>
      </c>
      <c r="F16" s="7">
        <v>600997.10999999987</v>
      </c>
      <c r="G16" s="7">
        <v>547569.11</v>
      </c>
      <c r="H16" s="7">
        <v>63605.459999999992</v>
      </c>
      <c r="I16" s="7">
        <v>248685.46000000005</v>
      </c>
      <c r="J16" s="7">
        <v>407281</v>
      </c>
      <c r="K16" s="7">
        <v>76146</v>
      </c>
      <c r="L16" s="7">
        <v>1450679.5699999998</v>
      </c>
      <c r="M16" s="7">
        <v>1255181.07</v>
      </c>
    </row>
    <row r="17" spans="1:13" x14ac:dyDescent="0.3">
      <c r="A17" s="11" t="s">
        <v>23</v>
      </c>
      <c r="B17" s="7">
        <v>208405.68000000002</v>
      </c>
      <c r="C17" s="7">
        <v>282838.67999999993</v>
      </c>
      <c r="D17" s="7">
        <v>239508.13</v>
      </c>
      <c r="E17" s="7">
        <v>131793.75</v>
      </c>
      <c r="F17" s="7">
        <v>498849.5799999999</v>
      </c>
      <c r="G17" s="7">
        <v>565651.08000000007</v>
      </c>
      <c r="H17" s="7">
        <v>94105</v>
      </c>
      <c r="I17" s="7">
        <v>337305</v>
      </c>
      <c r="J17" s="7">
        <v>348012</v>
      </c>
      <c r="K17" s="7">
        <v>62916</v>
      </c>
      <c r="L17" s="7">
        <v>1388880.39</v>
      </c>
      <c r="M17" s="7">
        <v>1380504.51</v>
      </c>
    </row>
    <row r="18" spans="1:13" x14ac:dyDescent="0.3">
      <c r="A18" s="11" t="s">
        <v>42</v>
      </c>
      <c r="B18" s="7">
        <v>192457.56000000003</v>
      </c>
      <c r="C18" s="7">
        <v>261844.56</v>
      </c>
      <c r="D18" s="7">
        <v>81956.25</v>
      </c>
      <c r="E18" s="7">
        <v>125171.25</v>
      </c>
      <c r="F18" s="7">
        <v>655008.2699999999</v>
      </c>
      <c r="G18" s="7">
        <v>607975.52</v>
      </c>
      <c r="H18" s="7">
        <v>83879.05</v>
      </c>
      <c r="I18" s="7">
        <v>290239.04999999993</v>
      </c>
      <c r="J18" s="7">
        <v>517760.5</v>
      </c>
      <c r="K18" s="7">
        <v>179088</v>
      </c>
      <c r="L18" s="7">
        <v>1531061.63</v>
      </c>
      <c r="M18" s="7">
        <v>1464318.38</v>
      </c>
    </row>
    <row r="19" spans="1:13" x14ac:dyDescent="0.3">
      <c r="A19" s="11" t="s">
        <v>70</v>
      </c>
      <c r="B19" s="7">
        <v>331838.39999999997</v>
      </c>
      <c r="C19" s="7">
        <v>454514.39999999997</v>
      </c>
      <c r="D19" s="7">
        <v>159357.5</v>
      </c>
      <c r="E19" s="7">
        <v>546555</v>
      </c>
      <c r="F19" s="7">
        <v>1370458.46</v>
      </c>
      <c r="G19" s="7">
        <v>1346559.96</v>
      </c>
      <c r="H19" s="7">
        <v>258739.34999999998</v>
      </c>
      <c r="I19" s="7">
        <v>907729.35</v>
      </c>
      <c r="J19" s="7">
        <v>983890.5</v>
      </c>
      <c r="K19" s="7">
        <v>0</v>
      </c>
      <c r="L19" s="7">
        <v>3104284.21</v>
      </c>
      <c r="M19" s="7">
        <v>3255358.71</v>
      </c>
    </row>
    <row r="20" spans="1:13" x14ac:dyDescent="0.3">
      <c r="A20" s="11" t="s">
        <v>101</v>
      </c>
      <c r="B20" s="7">
        <v>134267.03999999998</v>
      </c>
      <c r="C20" s="7">
        <v>182924.03999999998</v>
      </c>
      <c r="D20" s="7">
        <v>166150</v>
      </c>
      <c r="E20" s="7">
        <v>538645</v>
      </c>
      <c r="F20" s="7">
        <v>742719.04999999981</v>
      </c>
      <c r="G20" s="7">
        <v>686659.04999999993</v>
      </c>
      <c r="H20" s="7">
        <v>68653.38</v>
      </c>
      <c r="I20" s="7">
        <v>264498.38</v>
      </c>
      <c r="J20" s="7">
        <v>431102.5</v>
      </c>
      <c r="K20" s="7">
        <v>69402</v>
      </c>
      <c r="L20" s="7">
        <v>1542891.9699999997</v>
      </c>
      <c r="M20" s="7">
        <v>1742128.4699999997</v>
      </c>
    </row>
    <row r="21" spans="1:13" x14ac:dyDescent="0.3">
      <c r="A21" s="11" t="s">
        <v>111</v>
      </c>
      <c r="B21" s="7">
        <v>219765.96</v>
      </c>
      <c r="C21" s="7">
        <v>300828.95999999996</v>
      </c>
      <c r="D21" s="7">
        <v>144397.5</v>
      </c>
      <c r="E21" s="7">
        <v>526856.25</v>
      </c>
      <c r="F21" s="7">
        <v>629346.21000000008</v>
      </c>
      <c r="G21" s="7">
        <v>603553.71000000008</v>
      </c>
      <c r="H21" s="7">
        <v>91120.85</v>
      </c>
      <c r="I21" s="7">
        <v>333425.84999999998</v>
      </c>
      <c r="J21" s="7">
        <v>657946</v>
      </c>
      <c r="K21" s="7">
        <v>132318</v>
      </c>
      <c r="L21" s="7">
        <v>1742576.52</v>
      </c>
      <c r="M21" s="7">
        <v>1896982.77</v>
      </c>
    </row>
    <row r="22" spans="1:13" x14ac:dyDescent="0.3">
      <c r="A22" s="11" t="s">
        <v>1904</v>
      </c>
      <c r="B22" s="7">
        <v>1316803.1400000001</v>
      </c>
      <c r="C22" s="7">
        <v>1800593.64</v>
      </c>
      <c r="D22" s="7">
        <v>940096.88</v>
      </c>
      <c r="E22" s="7">
        <v>1934158.75</v>
      </c>
      <c r="F22" s="7">
        <v>4497378.68</v>
      </c>
      <c r="G22" s="7">
        <v>4357968.43</v>
      </c>
      <c r="H22" s="7">
        <v>660103.09</v>
      </c>
      <c r="I22" s="7">
        <v>2381883.09</v>
      </c>
      <c r="J22" s="7">
        <v>3345992.5</v>
      </c>
      <c r="K22" s="7">
        <v>519870</v>
      </c>
      <c r="L22" s="7">
        <v>10760374.289999999</v>
      </c>
      <c r="M22" s="7">
        <v>10994473.91</v>
      </c>
    </row>
    <row r="23" spans="1:13" x14ac:dyDescent="0.3">
      <c r="B23" s="7"/>
      <c r="C23" s="7"/>
      <c r="D23" s="7"/>
      <c r="E23" s="7"/>
      <c r="F23" s="7"/>
      <c r="G23" s="7"/>
      <c r="H23" s="7"/>
      <c r="I23" s="7"/>
      <c r="J23" s="7"/>
      <c r="K23" s="7"/>
      <c r="L23" s="7"/>
      <c r="M23" s="7"/>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36B2D-9860-4492-8240-6639188502E7}">
  <dimension ref="A1:T701"/>
  <sheetViews>
    <sheetView tabSelected="1" zoomScale="70" zoomScaleNormal="70" workbookViewId="0">
      <selection activeCell="S27" sqref="S27"/>
    </sheetView>
  </sheetViews>
  <sheetFormatPr defaultRowHeight="14.4" x14ac:dyDescent="0.3"/>
  <cols>
    <col min="1" max="1" width="14.88671875" style="2" bestFit="1" customWidth="1"/>
    <col min="2" max="2" width="9.6640625" style="2" customWidth="1"/>
    <col min="3" max="3" width="10.44140625" style="2" customWidth="1"/>
    <col min="4" max="4" width="15.88671875" style="2" customWidth="1"/>
    <col min="5" max="5" width="12.21875" style="4" customWidth="1"/>
    <col min="6" max="6" width="20.88671875" style="7" customWidth="1"/>
    <col min="7" max="7" width="11.77734375" style="7" customWidth="1"/>
    <col min="8" max="8" width="13.44140625" style="7" bestFit="1" customWidth="1"/>
    <col min="9" max="9" width="12.33203125" style="7" bestFit="1" customWidth="1"/>
    <col min="10" max="10" width="14.109375" style="7" bestFit="1" customWidth="1"/>
    <col min="11" max="11" width="12.33203125" style="7" bestFit="1" customWidth="1"/>
    <col min="12" max="12" width="14.109375" style="7" bestFit="1" customWidth="1"/>
    <col min="13" max="13" width="11.5546875" style="1" bestFit="1" customWidth="1"/>
    <col min="14" max="14" width="17.44140625" style="4" bestFit="1" customWidth="1"/>
    <col min="15" max="15" width="15" style="2" customWidth="1"/>
    <col min="16" max="16" width="8.21875" style="4" bestFit="1" customWidth="1"/>
    <col min="17" max="17" width="12.77734375" bestFit="1" customWidth="1"/>
    <col min="18" max="18" width="14.88671875" bestFit="1" customWidth="1"/>
    <col min="19" max="19" width="13.44140625" style="3" bestFit="1" customWidth="1"/>
    <col min="20" max="20" width="16.21875" style="3" bestFit="1" customWidth="1"/>
    <col min="22" max="22" width="10.109375" customWidth="1"/>
  </cols>
  <sheetData>
    <row r="1" spans="1:20" x14ac:dyDescent="0.3">
      <c r="A1" s="2" t="s">
        <v>0</v>
      </c>
      <c r="B1" s="2" t="s">
        <v>1</v>
      </c>
      <c r="C1" s="2" t="s">
        <v>11</v>
      </c>
      <c r="D1" s="2" t="s">
        <v>12</v>
      </c>
      <c r="E1" s="4" t="s">
        <v>13</v>
      </c>
      <c r="F1" s="7" t="s">
        <v>14</v>
      </c>
      <c r="G1" s="7" t="s">
        <v>15</v>
      </c>
      <c r="H1" s="7" t="s">
        <v>16</v>
      </c>
      <c r="I1" s="7" t="s">
        <v>17</v>
      </c>
      <c r="J1" s="7" t="s">
        <v>18</v>
      </c>
      <c r="K1" s="7" t="s">
        <v>19</v>
      </c>
      <c r="L1" s="7" t="s">
        <v>20</v>
      </c>
      <c r="M1" s="1" t="s">
        <v>2</v>
      </c>
      <c r="N1" s="4" t="s">
        <v>21</v>
      </c>
      <c r="O1" s="2" t="s">
        <v>22</v>
      </c>
      <c r="P1" s="4" t="s">
        <v>3</v>
      </c>
      <c r="Q1" t="s">
        <v>1899</v>
      </c>
    </row>
    <row r="2" spans="1:20" x14ac:dyDescent="0.3">
      <c r="A2" s="2" t="s">
        <v>4</v>
      </c>
      <c r="B2" s="2" t="s">
        <v>5</v>
      </c>
      <c r="C2" s="2" t="s">
        <v>23</v>
      </c>
      <c r="D2" s="2" t="s">
        <v>24</v>
      </c>
      <c r="E2" s="4">
        <v>1618.5</v>
      </c>
      <c r="F2" s="7" t="s">
        <v>25</v>
      </c>
      <c r="G2" s="7">
        <v>20</v>
      </c>
      <c r="H2" s="7" t="s">
        <v>26</v>
      </c>
      <c r="I2" s="7" t="s">
        <v>27</v>
      </c>
      <c r="J2" s="7">
        <v>32370</v>
      </c>
      <c r="K2" s="7" t="s">
        <v>28</v>
      </c>
      <c r="L2" s="7">
        <v>16185</v>
      </c>
      <c r="M2" s="1">
        <v>41640</v>
      </c>
      <c r="N2" s="4">
        <v>1</v>
      </c>
      <c r="O2" s="2" t="s">
        <v>29</v>
      </c>
      <c r="P2" s="4">
        <v>2014</v>
      </c>
      <c r="Q2" t="str">
        <f>IF(Table1[[#This Row],[UnitsSold]]&gt;3000,"Large",IF(Table1[[#This Row],[UnitsSold]]&gt;1500,"Midium","Small"))</f>
        <v>Midium</v>
      </c>
    </row>
    <row r="3" spans="1:20" x14ac:dyDescent="0.3">
      <c r="A3" s="2" t="s">
        <v>4</v>
      </c>
      <c r="B3" s="2" t="s">
        <v>6</v>
      </c>
      <c r="C3" s="2" t="s">
        <v>23</v>
      </c>
      <c r="D3" s="2" t="s">
        <v>24</v>
      </c>
      <c r="E3" s="4">
        <v>1321</v>
      </c>
      <c r="F3" s="7" t="s">
        <v>25</v>
      </c>
      <c r="G3" s="7">
        <v>20</v>
      </c>
      <c r="H3" s="7" t="s">
        <v>30</v>
      </c>
      <c r="I3" s="7" t="s">
        <v>27</v>
      </c>
      <c r="J3" s="7">
        <v>26420</v>
      </c>
      <c r="K3" s="7" t="s">
        <v>31</v>
      </c>
      <c r="L3" s="7">
        <v>13210</v>
      </c>
      <c r="M3" s="1">
        <v>41640</v>
      </c>
      <c r="N3" s="4">
        <v>1</v>
      </c>
      <c r="O3" s="2" t="s">
        <v>29</v>
      </c>
      <c r="P3" s="4">
        <v>2014</v>
      </c>
      <c r="Q3" t="str">
        <f>IF(Table1[[#This Row],[UnitsSold]]&gt;3000,"Large",IF(Table1[[#This Row],[UnitsSold]]&gt;1500,"Midium","Small"))</f>
        <v>Small</v>
      </c>
    </row>
    <row r="4" spans="1:20" x14ac:dyDescent="0.3">
      <c r="A4" s="2" t="s">
        <v>7</v>
      </c>
      <c r="B4" s="2" t="s">
        <v>8</v>
      </c>
      <c r="C4" s="2" t="s">
        <v>23</v>
      </c>
      <c r="D4" s="2" t="s">
        <v>24</v>
      </c>
      <c r="E4" s="4">
        <v>2178</v>
      </c>
      <c r="F4" s="7" t="s">
        <v>25</v>
      </c>
      <c r="G4" s="7">
        <v>15</v>
      </c>
      <c r="H4" s="7" t="s">
        <v>32</v>
      </c>
      <c r="I4" s="7" t="s">
        <v>27</v>
      </c>
      <c r="J4" s="7">
        <v>32670</v>
      </c>
      <c r="K4" s="7" t="s">
        <v>33</v>
      </c>
      <c r="L4" s="7">
        <v>10890</v>
      </c>
      <c r="M4" s="1">
        <v>41791</v>
      </c>
      <c r="N4" s="4">
        <v>6</v>
      </c>
      <c r="O4" s="2" t="s">
        <v>34</v>
      </c>
      <c r="P4" s="4">
        <v>2014</v>
      </c>
      <c r="Q4" t="str">
        <f>IF(Table1[[#This Row],[UnitsSold]]&gt;3000,"Large",IF(Table1[[#This Row],[UnitsSold]]&gt;1500,"Midium","Small"))</f>
        <v>Midium</v>
      </c>
    </row>
    <row r="5" spans="1:20" x14ac:dyDescent="0.3">
      <c r="A5" s="2" t="s">
        <v>7</v>
      </c>
      <c r="B5" s="2" t="s">
        <v>6</v>
      </c>
      <c r="C5" s="2" t="s">
        <v>23</v>
      </c>
      <c r="D5" s="2" t="s">
        <v>24</v>
      </c>
      <c r="E5" s="4">
        <v>888</v>
      </c>
      <c r="F5" s="7" t="s">
        <v>25</v>
      </c>
      <c r="G5" s="7">
        <v>15</v>
      </c>
      <c r="H5" s="7" t="s">
        <v>35</v>
      </c>
      <c r="I5" s="7" t="s">
        <v>27</v>
      </c>
      <c r="J5" s="7">
        <v>13320</v>
      </c>
      <c r="K5" s="7" t="s">
        <v>36</v>
      </c>
      <c r="L5" s="7">
        <v>4440</v>
      </c>
      <c r="M5" s="1">
        <v>41791</v>
      </c>
      <c r="N5" s="4">
        <v>6</v>
      </c>
      <c r="O5" s="2" t="s">
        <v>34</v>
      </c>
      <c r="P5" s="4">
        <v>2014</v>
      </c>
      <c r="Q5" t="str">
        <f>IF(Table1[[#This Row],[UnitsSold]]&gt;3000,"Large",IF(Table1[[#This Row],[UnitsSold]]&gt;1500,"Midium","Small"))</f>
        <v>Small</v>
      </c>
    </row>
    <row r="6" spans="1:20" x14ac:dyDescent="0.3">
      <c r="A6" s="2" t="s">
        <v>7</v>
      </c>
      <c r="B6" s="2" t="s">
        <v>9</v>
      </c>
      <c r="C6" s="2" t="s">
        <v>23</v>
      </c>
      <c r="D6" s="2" t="s">
        <v>24</v>
      </c>
      <c r="E6" s="4">
        <v>2470</v>
      </c>
      <c r="F6" s="7" t="s">
        <v>25</v>
      </c>
      <c r="G6" s="7">
        <v>15</v>
      </c>
      <c r="H6" s="7" t="s">
        <v>37</v>
      </c>
      <c r="I6" s="7" t="s">
        <v>27</v>
      </c>
      <c r="J6" s="7">
        <v>37050</v>
      </c>
      <c r="K6" s="7" t="s">
        <v>38</v>
      </c>
      <c r="L6" s="7">
        <v>12350</v>
      </c>
      <c r="M6" s="1">
        <v>41791</v>
      </c>
      <c r="N6" s="4">
        <v>6</v>
      </c>
      <c r="O6" s="2" t="s">
        <v>34</v>
      </c>
      <c r="P6" s="4">
        <v>2014</v>
      </c>
      <c r="Q6" t="str">
        <f>IF(Table1[[#This Row],[UnitsSold]]&gt;3000,"Large",IF(Table1[[#This Row],[UnitsSold]]&gt;1500,"Midium","Small"))</f>
        <v>Midium</v>
      </c>
    </row>
    <row r="7" spans="1:20" x14ac:dyDescent="0.3">
      <c r="A7" s="2" t="s">
        <v>4</v>
      </c>
      <c r="B7" s="2" t="s">
        <v>6</v>
      </c>
      <c r="C7" s="2" t="s">
        <v>23</v>
      </c>
      <c r="D7" s="2" t="s">
        <v>24</v>
      </c>
      <c r="E7" s="4">
        <v>1513</v>
      </c>
      <c r="F7" s="7" t="s">
        <v>25</v>
      </c>
      <c r="G7" s="7">
        <v>350</v>
      </c>
      <c r="H7" s="7" t="s">
        <v>39</v>
      </c>
      <c r="I7" s="7" t="s">
        <v>27</v>
      </c>
      <c r="J7" s="7" t="s">
        <v>1644</v>
      </c>
      <c r="K7" s="7" t="s">
        <v>40</v>
      </c>
      <c r="L7" s="7" t="s">
        <v>1857</v>
      </c>
      <c r="M7" s="1">
        <v>41974</v>
      </c>
      <c r="N7" s="4">
        <v>12</v>
      </c>
      <c r="O7" s="2" t="s">
        <v>41</v>
      </c>
      <c r="P7" s="4">
        <v>2014</v>
      </c>
      <c r="Q7" t="str">
        <f>IF(Table1[[#This Row],[UnitsSold]]&gt;3000,"Large",IF(Table1[[#This Row],[UnitsSold]]&gt;1500,"Midium","Small"))</f>
        <v>Midium</v>
      </c>
    </row>
    <row r="8" spans="1:20" x14ac:dyDescent="0.3">
      <c r="A8" s="2" t="s">
        <v>7</v>
      </c>
      <c r="B8" s="2" t="s">
        <v>6</v>
      </c>
      <c r="C8" s="2" t="s">
        <v>42</v>
      </c>
      <c r="D8" s="2" t="s">
        <v>24</v>
      </c>
      <c r="E8" s="4">
        <v>921</v>
      </c>
      <c r="F8" s="7" t="s">
        <v>43</v>
      </c>
      <c r="G8" s="7">
        <v>15</v>
      </c>
      <c r="H8" s="7" t="s">
        <v>44</v>
      </c>
      <c r="I8" s="7" t="s">
        <v>27</v>
      </c>
      <c r="J8" s="7">
        <v>13815</v>
      </c>
      <c r="K8" s="7" t="s">
        <v>45</v>
      </c>
      <c r="L8" s="7">
        <v>4605</v>
      </c>
      <c r="M8" s="1">
        <v>41699</v>
      </c>
      <c r="N8" s="4">
        <v>3</v>
      </c>
      <c r="O8" s="2" t="s">
        <v>46</v>
      </c>
      <c r="P8" s="4">
        <v>2014</v>
      </c>
      <c r="Q8" t="str">
        <f>IF(Table1[[#This Row],[UnitsSold]]&gt;3000,"Large",IF(Table1[[#This Row],[UnitsSold]]&gt;1500,"Midium","Small"))</f>
        <v>Small</v>
      </c>
    </row>
    <row r="9" spans="1:20" x14ac:dyDescent="0.3">
      <c r="A9" s="2" t="s">
        <v>47</v>
      </c>
      <c r="B9" s="2" t="s">
        <v>5</v>
      </c>
      <c r="C9" s="2" t="s">
        <v>42</v>
      </c>
      <c r="D9" s="2" t="s">
        <v>24</v>
      </c>
      <c r="E9" s="4">
        <v>2518</v>
      </c>
      <c r="F9" s="7" t="s">
        <v>43</v>
      </c>
      <c r="G9" s="7">
        <v>12</v>
      </c>
      <c r="H9" s="7" t="s">
        <v>48</v>
      </c>
      <c r="I9" s="7" t="s">
        <v>27</v>
      </c>
      <c r="J9" s="7">
        <v>30216</v>
      </c>
      <c r="K9" s="7" t="s">
        <v>49</v>
      </c>
      <c r="L9" s="7">
        <v>22662</v>
      </c>
      <c r="M9" s="1">
        <v>41791</v>
      </c>
      <c r="N9" s="4">
        <v>6</v>
      </c>
      <c r="O9" s="2" t="s">
        <v>34</v>
      </c>
      <c r="P9" s="4">
        <v>2014</v>
      </c>
      <c r="Q9" t="str">
        <f>IF(Table1[[#This Row],[UnitsSold]]&gt;3000,"Large",IF(Table1[[#This Row],[UnitsSold]]&gt;1500,"Midium","Small"))</f>
        <v>Midium</v>
      </c>
      <c r="R9" s="8" t="s">
        <v>1900</v>
      </c>
      <c r="S9" s="9" t="s">
        <v>1901</v>
      </c>
      <c r="T9" s="9" t="s">
        <v>1902</v>
      </c>
    </row>
    <row r="10" spans="1:20" x14ac:dyDescent="0.3">
      <c r="A10" s="2" t="s">
        <v>4</v>
      </c>
      <c r="B10" s="2" t="s">
        <v>8</v>
      </c>
      <c r="C10" s="2" t="s">
        <v>42</v>
      </c>
      <c r="D10" s="2" t="s">
        <v>24</v>
      </c>
      <c r="E10" s="4">
        <v>1899</v>
      </c>
      <c r="F10" s="7" t="s">
        <v>43</v>
      </c>
      <c r="G10" s="7">
        <v>20</v>
      </c>
      <c r="H10" s="7" t="s">
        <v>50</v>
      </c>
      <c r="I10" s="7" t="s">
        <v>27</v>
      </c>
      <c r="J10" s="7">
        <v>37980</v>
      </c>
      <c r="K10" s="7" t="s">
        <v>51</v>
      </c>
      <c r="L10" s="7">
        <v>18990</v>
      </c>
      <c r="M10" s="1">
        <v>41791</v>
      </c>
      <c r="N10" s="4">
        <v>6</v>
      </c>
      <c r="O10" s="2" t="s">
        <v>34</v>
      </c>
      <c r="P10" s="4">
        <v>2014</v>
      </c>
      <c r="Q10" t="str">
        <f>IF(Table1[[#This Row],[UnitsSold]]&gt;3000,"Large",IF(Table1[[#This Row],[UnitsSold]]&gt;1500,"Midium","Small"))</f>
        <v>Midium</v>
      </c>
      <c r="R10" s="6">
        <f>SUM(Table1[Profit])</f>
        <v>10760374.289999992</v>
      </c>
      <c r="S10" s="5">
        <f>IFERROR(AVERAGE(Table1[SalePrice]),0)</f>
        <v>118.42857142857143</v>
      </c>
      <c r="T10" s="5">
        <f>COUNTA(Table1[Segment])</f>
        <v>700</v>
      </c>
    </row>
    <row r="11" spans="1:20" x14ac:dyDescent="0.3">
      <c r="A11" s="2" t="s">
        <v>47</v>
      </c>
      <c r="B11" s="2" t="s">
        <v>6</v>
      </c>
      <c r="C11" s="2" t="s">
        <v>42</v>
      </c>
      <c r="D11" s="2" t="s">
        <v>24</v>
      </c>
      <c r="E11" s="4">
        <v>1545</v>
      </c>
      <c r="F11" s="7" t="s">
        <v>43</v>
      </c>
      <c r="G11" s="7">
        <v>12</v>
      </c>
      <c r="H11" s="7" t="s">
        <v>52</v>
      </c>
      <c r="I11" s="7" t="s">
        <v>27</v>
      </c>
      <c r="J11" s="7">
        <v>18540</v>
      </c>
      <c r="K11" s="7" t="s">
        <v>53</v>
      </c>
      <c r="L11" s="7">
        <v>13905</v>
      </c>
      <c r="M11" s="1">
        <v>41791</v>
      </c>
      <c r="N11" s="4">
        <v>6</v>
      </c>
      <c r="O11" s="2" t="s">
        <v>34</v>
      </c>
      <c r="P11" s="4">
        <v>2014</v>
      </c>
      <c r="Q11" t="str">
        <f>IF(Table1[[#This Row],[UnitsSold]]&gt;3000,"Large",IF(Table1[[#This Row],[UnitsSold]]&gt;1500,"Midium","Small"))</f>
        <v>Midium</v>
      </c>
    </row>
    <row r="12" spans="1:20" x14ac:dyDescent="0.3">
      <c r="A12" s="2" t="s">
        <v>7</v>
      </c>
      <c r="B12" s="2" t="s">
        <v>9</v>
      </c>
      <c r="C12" s="2" t="s">
        <v>42</v>
      </c>
      <c r="D12" s="2" t="s">
        <v>24</v>
      </c>
      <c r="E12" s="4">
        <v>2470</v>
      </c>
      <c r="F12" s="7" t="s">
        <v>43</v>
      </c>
      <c r="G12" s="7">
        <v>15</v>
      </c>
      <c r="H12" s="7" t="s">
        <v>37</v>
      </c>
      <c r="I12" s="7" t="s">
        <v>27</v>
      </c>
      <c r="J12" s="7">
        <v>37050</v>
      </c>
      <c r="K12" s="7" t="s">
        <v>38</v>
      </c>
      <c r="L12" s="7">
        <v>12350</v>
      </c>
      <c r="M12" s="1">
        <v>41791</v>
      </c>
      <c r="N12" s="4">
        <v>6</v>
      </c>
      <c r="O12" s="2" t="s">
        <v>34</v>
      </c>
      <c r="P12" s="4">
        <v>2014</v>
      </c>
      <c r="Q12" t="str">
        <f>IF(Table1[[#This Row],[UnitsSold]]&gt;3000,"Large",IF(Table1[[#This Row],[UnitsSold]]&gt;1500,"Midium","Small"))</f>
        <v>Midium</v>
      </c>
    </row>
    <row r="13" spans="1:20" x14ac:dyDescent="0.3">
      <c r="A13" s="2" t="s">
        <v>10</v>
      </c>
      <c r="B13" s="2" t="s">
        <v>5</v>
      </c>
      <c r="C13" s="2" t="s">
        <v>42</v>
      </c>
      <c r="D13" s="2" t="s">
        <v>24</v>
      </c>
      <c r="E13" s="4">
        <v>2665.5</v>
      </c>
      <c r="F13" s="7" t="s">
        <v>43</v>
      </c>
      <c r="G13" s="7">
        <v>125</v>
      </c>
      <c r="H13" s="7" t="s">
        <v>54</v>
      </c>
      <c r="I13" s="7" t="s">
        <v>27</v>
      </c>
      <c r="J13" s="7" t="s">
        <v>1645</v>
      </c>
      <c r="K13" s="7" t="s">
        <v>55</v>
      </c>
      <c r="L13" s="7">
        <v>13327.5</v>
      </c>
      <c r="M13" s="1">
        <v>41821</v>
      </c>
      <c r="N13" s="4">
        <v>7</v>
      </c>
      <c r="O13" s="2" t="s">
        <v>56</v>
      </c>
      <c r="P13" s="4">
        <v>2014</v>
      </c>
      <c r="Q13" t="str">
        <f>IF(Table1[[#This Row],[UnitsSold]]&gt;3000,"Large",IF(Table1[[#This Row],[UnitsSold]]&gt;1500,"Midium","Small"))</f>
        <v>Midium</v>
      </c>
    </row>
    <row r="14" spans="1:20" x14ac:dyDescent="0.3">
      <c r="A14" s="2" t="s">
        <v>57</v>
      </c>
      <c r="B14" s="2" t="s">
        <v>9</v>
      </c>
      <c r="C14" s="2" t="s">
        <v>42</v>
      </c>
      <c r="D14" s="2" t="s">
        <v>24</v>
      </c>
      <c r="E14" s="4">
        <v>958</v>
      </c>
      <c r="F14" s="7" t="s">
        <v>43</v>
      </c>
      <c r="G14" s="7">
        <v>300</v>
      </c>
      <c r="H14" s="7" t="s">
        <v>58</v>
      </c>
      <c r="I14" s="7" t="s">
        <v>27</v>
      </c>
      <c r="J14" s="7" t="s">
        <v>1646</v>
      </c>
      <c r="K14" s="7" t="s">
        <v>59</v>
      </c>
      <c r="L14" s="7">
        <v>47900</v>
      </c>
      <c r="M14" s="1">
        <v>41852</v>
      </c>
      <c r="N14" s="4">
        <v>8</v>
      </c>
      <c r="O14" s="2" t="s">
        <v>60</v>
      </c>
      <c r="P14" s="4">
        <v>2014</v>
      </c>
      <c r="Q14" t="str">
        <f>IF(Table1[[#This Row],[UnitsSold]]&gt;3000,"Large",IF(Table1[[#This Row],[UnitsSold]]&gt;1500,"Midium","Small"))</f>
        <v>Small</v>
      </c>
    </row>
    <row r="15" spans="1:20" x14ac:dyDescent="0.3">
      <c r="A15" s="2" t="s">
        <v>4</v>
      </c>
      <c r="B15" s="2" t="s">
        <v>6</v>
      </c>
      <c r="C15" s="2" t="s">
        <v>42</v>
      </c>
      <c r="D15" s="2" t="s">
        <v>24</v>
      </c>
      <c r="E15" s="4">
        <v>2146</v>
      </c>
      <c r="F15" s="7" t="s">
        <v>43</v>
      </c>
      <c r="G15" s="7">
        <v>7</v>
      </c>
      <c r="H15" s="7" t="s">
        <v>61</v>
      </c>
      <c r="I15" s="7" t="s">
        <v>27</v>
      </c>
      <c r="J15" s="7">
        <v>15022</v>
      </c>
      <c r="K15" s="7" t="s">
        <v>62</v>
      </c>
      <c r="L15" s="7">
        <v>4292</v>
      </c>
      <c r="M15" s="1">
        <v>41883</v>
      </c>
      <c r="N15" s="4">
        <v>9</v>
      </c>
      <c r="O15" s="2" t="s">
        <v>63</v>
      </c>
      <c r="P15" s="4">
        <v>2014</v>
      </c>
      <c r="Q15" t="str">
        <f>IF(Table1[[#This Row],[UnitsSold]]&gt;3000,"Large",IF(Table1[[#This Row],[UnitsSold]]&gt;1500,"Midium","Small"))</f>
        <v>Midium</v>
      </c>
    </row>
    <row r="16" spans="1:20" x14ac:dyDescent="0.3">
      <c r="A16" s="2" t="s">
        <v>10</v>
      </c>
      <c r="B16" s="2" t="s">
        <v>5</v>
      </c>
      <c r="C16" s="2" t="s">
        <v>42</v>
      </c>
      <c r="D16" s="2" t="s">
        <v>24</v>
      </c>
      <c r="E16" s="4">
        <v>345</v>
      </c>
      <c r="F16" s="7" t="s">
        <v>43</v>
      </c>
      <c r="G16" s="7">
        <v>125</v>
      </c>
      <c r="H16" s="7" t="s">
        <v>64</v>
      </c>
      <c r="I16" s="7" t="s">
        <v>27</v>
      </c>
      <c r="J16" s="7">
        <v>43125</v>
      </c>
      <c r="K16" s="7" t="s">
        <v>65</v>
      </c>
      <c r="L16" s="7">
        <v>1725</v>
      </c>
      <c r="M16" s="1">
        <v>41548</v>
      </c>
      <c r="N16" s="4">
        <v>10</v>
      </c>
      <c r="O16" s="2" t="s">
        <v>66</v>
      </c>
      <c r="P16" s="4">
        <v>2013</v>
      </c>
      <c r="Q16" t="str">
        <f>IF(Table1[[#This Row],[UnitsSold]]&gt;3000,"Large",IF(Table1[[#This Row],[UnitsSold]]&gt;1500,"Midium","Small"))</f>
        <v>Small</v>
      </c>
    </row>
    <row r="17" spans="1:17" x14ac:dyDescent="0.3">
      <c r="A17" s="2" t="s">
        <v>7</v>
      </c>
      <c r="B17" s="2" t="s">
        <v>67</v>
      </c>
      <c r="C17" s="2" t="s">
        <v>42</v>
      </c>
      <c r="D17" s="2" t="s">
        <v>24</v>
      </c>
      <c r="E17" s="4">
        <v>615</v>
      </c>
      <c r="F17" s="7" t="s">
        <v>43</v>
      </c>
      <c r="G17" s="7">
        <v>15</v>
      </c>
      <c r="H17" s="7" t="s">
        <v>68</v>
      </c>
      <c r="I17" s="7" t="s">
        <v>27</v>
      </c>
      <c r="J17" s="7">
        <v>9225</v>
      </c>
      <c r="K17" s="7" t="s">
        <v>69</v>
      </c>
      <c r="L17" s="7">
        <v>3075</v>
      </c>
      <c r="M17" s="1">
        <v>41974</v>
      </c>
      <c r="N17" s="4">
        <v>12</v>
      </c>
      <c r="O17" s="2" t="s">
        <v>41</v>
      </c>
      <c r="P17" s="4">
        <v>2014</v>
      </c>
      <c r="Q17" t="str">
        <f>IF(Table1[[#This Row],[UnitsSold]]&gt;3000,"Large",IF(Table1[[#This Row],[UnitsSold]]&gt;1500,"Midium","Small"))</f>
        <v>Small</v>
      </c>
    </row>
    <row r="18" spans="1:17" x14ac:dyDescent="0.3">
      <c r="A18" s="2" t="s">
        <v>4</v>
      </c>
      <c r="B18" s="2" t="s">
        <v>5</v>
      </c>
      <c r="C18" s="2" t="s">
        <v>70</v>
      </c>
      <c r="D18" s="2" t="s">
        <v>24</v>
      </c>
      <c r="E18" s="4">
        <v>292</v>
      </c>
      <c r="F18" s="7" t="s">
        <v>71</v>
      </c>
      <c r="G18" s="7">
        <v>20</v>
      </c>
      <c r="H18" s="7" t="s">
        <v>72</v>
      </c>
      <c r="I18" s="7" t="s">
        <v>27</v>
      </c>
      <c r="J18" s="7">
        <v>5840</v>
      </c>
      <c r="K18" s="7" t="s">
        <v>73</v>
      </c>
      <c r="L18" s="7">
        <v>2920</v>
      </c>
      <c r="M18" s="1">
        <v>41671</v>
      </c>
      <c r="N18" s="4">
        <v>2</v>
      </c>
      <c r="O18" s="2" t="s">
        <v>74</v>
      </c>
      <c r="P18" s="4">
        <v>2014</v>
      </c>
      <c r="Q18" t="str">
        <f>IF(Table1[[#This Row],[UnitsSold]]&gt;3000,"Large",IF(Table1[[#This Row],[UnitsSold]]&gt;1500,"Midium","Small"))</f>
        <v>Small</v>
      </c>
    </row>
    <row r="19" spans="1:17" x14ac:dyDescent="0.3">
      <c r="A19" s="2" t="s">
        <v>7</v>
      </c>
      <c r="B19" s="2" t="s">
        <v>9</v>
      </c>
      <c r="C19" s="2" t="s">
        <v>70</v>
      </c>
      <c r="D19" s="2" t="s">
        <v>24</v>
      </c>
      <c r="E19" s="4">
        <v>974</v>
      </c>
      <c r="F19" s="7" t="s">
        <v>71</v>
      </c>
      <c r="G19" s="7">
        <v>15</v>
      </c>
      <c r="H19" s="7" t="s">
        <v>75</v>
      </c>
      <c r="I19" s="7" t="s">
        <v>27</v>
      </c>
      <c r="J19" s="7">
        <v>14610</v>
      </c>
      <c r="K19" s="7" t="s">
        <v>76</v>
      </c>
      <c r="L19" s="7">
        <v>4870</v>
      </c>
      <c r="M19" s="1">
        <v>41671</v>
      </c>
      <c r="N19" s="4">
        <v>2</v>
      </c>
      <c r="O19" s="2" t="s">
        <v>74</v>
      </c>
      <c r="P19" s="4">
        <v>2014</v>
      </c>
      <c r="Q19" t="str">
        <f>IF(Table1[[#This Row],[UnitsSold]]&gt;3000,"Large",IF(Table1[[#This Row],[UnitsSold]]&gt;1500,"Midium","Small"))</f>
        <v>Small</v>
      </c>
    </row>
    <row r="20" spans="1:17" x14ac:dyDescent="0.3">
      <c r="A20" s="2" t="s">
        <v>47</v>
      </c>
      <c r="B20" s="2" t="s">
        <v>5</v>
      </c>
      <c r="C20" s="2" t="s">
        <v>70</v>
      </c>
      <c r="D20" s="2" t="s">
        <v>24</v>
      </c>
      <c r="E20" s="4">
        <v>2518</v>
      </c>
      <c r="F20" s="7" t="s">
        <v>71</v>
      </c>
      <c r="G20" s="7">
        <v>12</v>
      </c>
      <c r="H20" s="7" t="s">
        <v>48</v>
      </c>
      <c r="I20" s="7" t="s">
        <v>27</v>
      </c>
      <c r="J20" s="7">
        <v>30216</v>
      </c>
      <c r="K20" s="7" t="s">
        <v>49</v>
      </c>
      <c r="L20" s="7">
        <v>22662</v>
      </c>
      <c r="M20" s="1">
        <v>41791</v>
      </c>
      <c r="N20" s="4">
        <v>6</v>
      </c>
      <c r="O20" s="2" t="s">
        <v>34</v>
      </c>
      <c r="P20" s="4">
        <v>2014</v>
      </c>
      <c r="Q20" t="str">
        <f>IF(Table1[[#This Row],[UnitsSold]]&gt;3000,"Large",IF(Table1[[#This Row],[UnitsSold]]&gt;1500,"Midium","Small"))</f>
        <v>Midium</v>
      </c>
    </row>
    <row r="21" spans="1:17" x14ac:dyDescent="0.3">
      <c r="A21" s="2" t="s">
        <v>4</v>
      </c>
      <c r="B21" s="2" t="s">
        <v>6</v>
      </c>
      <c r="C21" s="2" t="s">
        <v>70</v>
      </c>
      <c r="D21" s="2" t="s">
        <v>24</v>
      </c>
      <c r="E21" s="4">
        <v>1006</v>
      </c>
      <c r="F21" s="7" t="s">
        <v>71</v>
      </c>
      <c r="G21" s="7">
        <v>350</v>
      </c>
      <c r="H21" s="7" t="s">
        <v>77</v>
      </c>
      <c r="I21" s="7" t="s">
        <v>27</v>
      </c>
      <c r="J21" s="7" t="s">
        <v>1647</v>
      </c>
      <c r="K21" s="7" t="s">
        <v>78</v>
      </c>
      <c r="L21" s="7">
        <v>90540</v>
      </c>
      <c r="M21" s="1">
        <v>41791</v>
      </c>
      <c r="N21" s="4">
        <v>6</v>
      </c>
      <c r="O21" s="2" t="s">
        <v>34</v>
      </c>
      <c r="P21" s="4">
        <v>2014</v>
      </c>
      <c r="Q21" t="str">
        <f>IF(Table1[[#This Row],[UnitsSold]]&gt;3000,"Large",IF(Table1[[#This Row],[UnitsSold]]&gt;1500,"Midium","Small"))</f>
        <v>Small</v>
      </c>
    </row>
    <row r="22" spans="1:17" x14ac:dyDescent="0.3">
      <c r="A22" s="2" t="s">
        <v>47</v>
      </c>
      <c r="B22" s="2" t="s">
        <v>6</v>
      </c>
      <c r="C22" s="2" t="s">
        <v>70</v>
      </c>
      <c r="D22" s="2" t="s">
        <v>24</v>
      </c>
      <c r="E22" s="4">
        <v>367</v>
      </c>
      <c r="F22" s="7" t="s">
        <v>71</v>
      </c>
      <c r="G22" s="7">
        <v>12</v>
      </c>
      <c r="H22" s="7" t="s">
        <v>79</v>
      </c>
      <c r="I22" s="7" t="s">
        <v>27</v>
      </c>
      <c r="J22" s="7">
        <v>4404</v>
      </c>
      <c r="K22" s="7" t="s">
        <v>80</v>
      </c>
      <c r="L22" s="7">
        <v>3303</v>
      </c>
      <c r="M22" s="1">
        <v>41821</v>
      </c>
      <c r="N22" s="4">
        <v>7</v>
      </c>
      <c r="O22" s="2" t="s">
        <v>56</v>
      </c>
      <c r="P22" s="4">
        <v>2014</v>
      </c>
      <c r="Q22" t="str">
        <f>IF(Table1[[#This Row],[UnitsSold]]&gt;3000,"Large",IF(Table1[[#This Row],[UnitsSold]]&gt;1500,"Midium","Small"))</f>
        <v>Small</v>
      </c>
    </row>
    <row r="23" spans="1:17" x14ac:dyDescent="0.3">
      <c r="A23" s="2" t="s">
        <v>4</v>
      </c>
      <c r="B23" s="2" t="s">
        <v>9</v>
      </c>
      <c r="C23" s="2" t="s">
        <v>70</v>
      </c>
      <c r="D23" s="2" t="s">
        <v>24</v>
      </c>
      <c r="E23" s="4">
        <v>883</v>
      </c>
      <c r="F23" s="7" t="s">
        <v>71</v>
      </c>
      <c r="G23" s="7">
        <v>7</v>
      </c>
      <c r="H23" s="7" t="s">
        <v>81</v>
      </c>
      <c r="I23" s="7" t="s">
        <v>27</v>
      </c>
      <c r="J23" s="7">
        <v>6181</v>
      </c>
      <c r="K23" s="7" t="s">
        <v>82</v>
      </c>
      <c r="L23" s="7">
        <v>1766</v>
      </c>
      <c r="M23" s="1">
        <v>41852</v>
      </c>
      <c r="N23" s="4">
        <v>8</v>
      </c>
      <c r="O23" s="2" t="s">
        <v>60</v>
      </c>
      <c r="P23" s="4">
        <v>2014</v>
      </c>
      <c r="Q23" t="str">
        <f>IF(Table1[[#This Row],[UnitsSold]]&gt;3000,"Large",IF(Table1[[#This Row],[UnitsSold]]&gt;1500,"Midium","Small"))</f>
        <v>Small</v>
      </c>
    </row>
    <row r="24" spans="1:17" x14ac:dyDescent="0.3">
      <c r="A24" s="2" t="s">
        <v>7</v>
      </c>
      <c r="B24" s="2" t="s">
        <v>8</v>
      </c>
      <c r="C24" s="2" t="s">
        <v>70</v>
      </c>
      <c r="D24" s="2" t="s">
        <v>24</v>
      </c>
      <c r="E24" s="4">
        <v>549</v>
      </c>
      <c r="F24" s="7" t="s">
        <v>71</v>
      </c>
      <c r="G24" s="7">
        <v>15</v>
      </c>
      <c r="H24" s="7" t="s">
        <v>83</v>
      </c>
      <c r="I24" s="7" t="s">
        <v>27</v>
      </c>
      <c r="J24" s="7">
        <v>8235</v>
      </c>
      <c r="K24" s="7" t="s">
        <v>84</v>
      </c>
      <c r="L24" s="7">
        <v>2745</v>
      </c>
      <c r="M24" s="1">
        <v>41518</v>
      </c>
      <c r="N24" s="4">
        <v>9</v>
      </c>
      <c r="O24" s="2" t="s">
        <v>63</v>
      </c>
      <c r="P24" s="4">
        <v>2013</v>
      </c>
      <c r="Q24" t="str">
        <f>IF(Table1[[#This Row],[UnitsSold]]&gt;3000,"Large",IF(Table1[[#This Row],[UnitsSold]]&gt;1500,"Midium","Small"))</f>
        <v>Small</v>
      </c>
    </row>
    <row r="25" spans="1:17" x14ac:dyDescent="0.3">
      <c r="A25" s="2" t="s">
        <v>57</v>
      </c>
      <c r="B25" s="2" t="s">
        <v>9</v>
      </c>
      <c r="C25" s="2" t="s">
        <v>70</v>
      </c>
      <c r="D25" s="2" t="s">
        <v>24</v>
      </c>
      <c r="E25" s="4">
        <v>788</v>
      </c>
      <c r="F25" s="7" t="s">
        <v>71</v>
      </c>
      <c r="G25" s="7">
        <v>300</v>
      </c>
      <c r="H25" s="7" t="s">
        <v>85</v>
      </c>
      <c r="I25" s="7" t="s">
        <v>27</v>
      </c>
      <c r="J25" s="7" t="s">
        <v>1648</v>
      </c>
      <c r="K25" s="7" t="s">
        <v>86</v>
      </c>
      <c r="L25" s="7">
        <v>39400</v>
      </c>
      <c r="M25" s="1">
        <v>41518</v>
      </c>
      <c r="N25" s="4">
        <v>9</v>
      </c>
      <c r="O25" s="2" t="s">
        <v>63</v>
      </c>
      <c r="P25" s="4">
        <v>2013</v>
      </c>
      <c r="Q25" t="str">
        <f>IF(Table1[[#This Row],[UnitsSold]]&gt;3000,"Large",IF(Table1[[#This Row],[UnitsSold]]&gt;1500,"Midium","Small"))</f>
        <v>Small</v>
      </c>
    </row>
    <row r="26" spans="1:17" x14ac:dyDescent="0.3">
      <c r="A26" s="2" t="s">
        <v>7</v>
      </c>
      <c r="B26" s="2" t="s">
        <v>9</v>
      </c>
      <c r="C26" s="2" t="s">
        <v>70</v>
      </c>
      <c r="D26" s="2" t="s">
        <v>24</v>
      </c>
      <c r="E26" s="4">
        <v>2472</v>
      </c>
      <c r="F26" s="7" t="s">
        <v>71</v>
      </c>
      <c r="G26" s="7">
        <v>15</v>
      </c>
      <c r="H26" s="7" t="s">
        <v>87</v>
      </c>
      <c r="I26" s="7" t="s">
        <v>27</v>
      </c>
      <c r="J26" s="7">
        <v>37080</v>
      </c>
      <c r="K26" s="7" t="s">
        <v>88</v>
      </c>
      <c r="L26" s="7">
        <v>12360</v>
      </c>
      <c r="M26" s="1">
        <v>41883</v>
      </c>
      <c r="N26" s="4">
        <v>9</v>
      </c>
      <c r="O26" s="2" t="s">
        <v>63</v>
      </c>
      <c r="P26" s="4">
        <v>2014</v>
      </c>
      <c r="Q26" t="str">
        <f>IF(Table1[[#This Row],[UnitsSold]]&gt;3000,"Large",IF(Table1[[#This Row],[UnitsSold]]&gt;1500,"Midium","Small"))</f>
        <v>Midium</v>
      </c>
    </row>
    <row r="27" spans="1:17" x14ac:dyDescent="0.3">
      <c r="A27" s="2" t="s">
        <v>4</v>
      </c>
      <c r="B27" s="2" t="s">
        <v>67</v>
      </c>
      <c r="C27" s="2" t="s">
        <v>70</v>
      </c>
      <c r="D27" s="2" t="s">
        <v>24</v>
      </c>
      <c r="E27" s="4">
        <v>1143</v>
      </c>
      <c r="F27" s="7" t="s">
        <v>71</v>
      </c>
      <c r="G27" s="7">
        <v>7</v>
      </c>
      <c r="H27" s="7" t="s">
        <v>90</v>
      </c>
      <c r="I27" s="7" t="s">
        <v>27</v>
      </c>
      <c r="J27" s="7">
        <v>8001</v>
      </c>
      <c r="K27" s="7" t="s">
        <v>91</v>
      </c>
      <c r="L27" s="7">
        <v>2286</v>
      </c>
      <c r="M27" s="1">
        <v>41913</v>
      </c>
      <c r="N27" s="4">
        <v>10</v>
      </c>
      <c r="O27" s="2" t="s">
        <v>66</v>
      </c>
      <c r="P27" s="4">
        <v>2014</v>
      </c>
      <c r="Q27" t="str">
        <f>IF(Table1[[#This Row],[UnitsSold]]&gt;3000,"Large",IF(Table1[[#This Row],[UnitsSold]]&gt;1500,"Midium","Small"))</f>
        <v>Small</v>
      </c>
    </row>
    <row r="28" spans="1:17" x14ac:dyDescent="0.3">
      <c r="A28" s="2" t="s">
        <v>4</v>
      </c>
      <c r="B28" s="2" t="s">
        <v>5</v>
      </c>
      <c r="C28" s="2" t="s">
        <v>70</v>
      </c>
      <c r="D28" s="2" t="s">
        <v>24</v>
      </c>
      <c r="E28" s="4">
        <v>1725</v>
      </c>
      <c r="F28" s="7" t="s">
        <v>71</v>
      </c>
      <c r="G28" s="7">
        <v>350</v>
      </c>
      <c r="H28" s="7" t="s">
        <v>92</v>
      </c>
      <c r="I28" s="7" t="s">
        <v>27</v>
      </c>
      <c r="J28" s="7" t="s">
        <v>1649</v>
      </c>
      <c r="K28" s="7" t="s">
        <v>93</v>
      </c>
      <c r="L28" s="7" t="s">
        <v>1858</v>
      </c>
      <c r="M28" s="1">
        <v>41579</v>
      </c>
      <c r="N28" s="4">
        <v>11</v>
      </c>
      <c r="O28" s="2" t="s">
        <v>94</v>
      </c>
      <c r="P28" s="4">
        <v>2013</v>
      </c>
      <c r="Q28" t="str">
        <f>IF(Table1[[#This Row],[UnitsSold]]&gt;3000,"Large",IF(Table1[[#This Row],[UnitsSold]]&gt;1500,"Midium","Small"))</f>
        <v>Midium</v>
      </c>
    </row>
    <row r="29" spans="1:17" x14ac:dyDescent="0.3">
      <c r="A29" s="2" t="s">
        <v>47</v>
      </c>
      <c r="B29" s="2" t="s">
        <v>67</v>
      </c>
      <c r="C29" s="2" t="s">
        <v>70</v>
      </c>
      <c r="D29" s="2" t="s">
        <v>24</v>
      </c>
      <c r="E29" s="4">
        <v>912</v>
      </c>
      <c r="F29" s="7" t="s">
        <v>71</v>
      </c>
      <c r="G29" s="7">
        <v>12</v>
      </c>
      <c r="H29" s="7" t="s">
        <v>95</v>
      </c>
      <c r="I29" s="7" t="s">
        <v>27</v>
      </c>
      <c r="J29" s="7">
        <v>10944</v>
      </c>
      <c r="K29" s="7" t="s">
        <v>96</v>
      </c>
      <c r="L29" s="7">
        <v>8208</v>
      </c>
      <c r="M29" s="1">
        <v>41579</v>
      </c>
      <c r="N29" s="4">
        <v>11</v>
      </c>
      <c r="O29" s="2" t="s">
        <v>94</v>
      </c>
      <c r="P29" s="4">
        <v>2013</v>
      </c>
      <c r="Q29" t="str">
        <f>IF(Table1[[#This Row],[UnitsSold]]&gt;3000,"Large",IF(Table1[[#This Row],[UnitsSold]]&gt;1500,"Midium","Small"))</f>
        <v>Small</v>
      </c>
    </row>
    <row r="30" spans="1:17" x14ac:dyDescent="0.3">
      <c r="A30" s="2" t="s">
        <v>7</v>
      </c>
      <c r="B30" s="2" t="s">
        <v>5</v>
      </c>
      <c r="C30" s="2" t="s">
        <v>70</v>
      </c>
      <c r="D30" s="2" t="s">
        <v>24</v>
      </c>
      <c r="E30" s="4">
        <v>2152</v>
      </c>
      <c r="F30" s="7" t="s">
        <v>71</v>
      </c>
      <c r="G30" s="7">
        <v>15</v>
      </c>
      <c r="H30" s="7" t="s">
        <v>97</v>
      </c>
      <c r="I30" s="7" t="s">
        <v>27</v>
      </c>
      <c r="J30" s="7">
        <v>32280</v>
      </c>
      <c r="K30" s="7" t="s">
        <v>98</v>
      </c>
      <c r="L30" s="7">
        <v>10760</v>
      </c>
      <c r="M30" s="1">
        <v>41609</v>
      </c>
      <c r="N30" s="4">
        <v>12</v>
      </c>
      <c r="O30" s="2" t="s">
        <v>41</v>
      </c>
      <c r="P30" s="4">
        <v>2013</v>
      </c>
      <c r="Q30" t="str">
        <f>IF(Table1[[#This Row],[UnitsSold]]&gt;3000,"Large",IF(Table1[[#This Row],[UnitsSold]]&gt;1500,"Midium","Small"))</f>
        <v>Midium</v>
      </c>
    </row>
    <row r="31" spans="1:17" x14ac:dyDescent="0.3">
      <c r="A31" s="2" t="s">
        <v>4</v>
      </c>
      <c r="B31" s="2" t="s">
        <v>5</v>
      </c>
      <c r="C31" s="2" t="s">
        <v>70</v>
      </c>
      <c r="D31" s="2" t="s">
        <v>24</v>
      </c>
      <c r="E31" s="4">
        <v>1817</v>
      </c>
      <c r="F31" s="7" t="s">
        <v>71</v>
      </c>
      <c r="G31" s="7">
        <v>20</v>
      </c>
      <c r="H31" s="7" t="s">
        <v>99</v>
      </c>
      <c r="I31" s="7" t="s">
        <v>27</v>
      </c>
      <c r="J31" s="7">
        <v>36340</v>
      </c>
      <c r="K31" s="7" t="s">
        <v>100</v>
      </c>
      <c r="L31" s="7">
        <v>18170</v>
      </c>
      <c r="M31" s="1">
        <v>41974</v>
      </c>
      <c r="N31" s="4">
        <v>12</v>
      </c>
      <c r="O31" s="2" t="s">
        <v>41</v>
      </c>
      <c r="P31" s="4">
        <v>2014</v>
      </c>
      <c r="Q31" t="str">
        <f>IF(Table1[[#This Row],[UnitsSold]]&gt;3000,"Large",IF(Table1[[#This Row],[UnitsSold]]&gt;1500,"Midium","Small"))</f>
        <v>Midium</v>
      </c>
    </row>
    <row r="32" spans="1:17" x14ac:dyDescent="0.3">
      <c r="A32" s="2" t="s">
        <v>4</v>
      </c>
      <c r="B32" s="2" t="s">
        <v>6</v>
      </c>
      <c r="C32" s="2" t="s">
        <v>70</v>
      </c>
      <c r="D32" s="2" t="s">
        <v>24</v>
      </c>
      <c r="E32" s="4">
        <v>1513</v>
      </c>
      <c r="F32" s="7" t="s">
        <v>71</v>
      </c>
      <c r="G32" s="7">
        <v>350</v>
      </c>
      <c r="H32" s="7" t="s">
        <v>39</v>
      </c>
      <c r="I32" s="7" t="s">
        <v>27</v>
      </c>
      <c r="J32" s="7" t="s">
        <v>1644</v>
      </c>
      <c r="K32" s="7" t="s">
        <v>40</v>
      </c>
      <c r="L32" s="7" t="s">
        <v>1857</v>
      </c>
      <c r="M32" s="1">
        <v>41974</v>
      </c>
      <c r="N32" s="4">
        <v>12</v>
      </c>
      <c r="O32" s="2" t="s">
        <v>41</v>
      </c>
      <c r="P32" s="4">
        <v>2014</v>
      </c>
      <c r="Q32" t="str">
        <f>IF(Table1[[#This Row],[UnitsSold]]&gt;3000,"Large",IF(Table1[[#This Row],[UnitsSold]]&gt;1500,"Midium","Small"))</f>
        <v>Midium</v>
      </c>
    </row>
    <row r="33" spans="1:17" x14ac:dyDescent="0.3">
      <c r="A33" s="2" t="s">
        <v>4</v>
      </c>
      <c r="B33" s="2" t="s">
        <v>9</v>
      </c>
      <c r="C33" s="2" t="s">
        <v>101</v>
      </c>
      <c r="D33" s="2" t="s">
        <v>24</v>
      </c>
      <c r="E33" s="4">
        <v>1493</v>
      </c>
      <c r="F33" s="7" t="s">
        <v>102</v>
      </c>
      <c r="G33" s="7">
        <v>7</v>
      </c>
      <c r="H33" s="7" t="s">
        <v>103</v>
      </c>
      <c r="I33" s="7" t="s">
        <v>27</v>
      </c>
      <c r="J33" s="7">
        <v>10451</v>
      </c>
      <c r="K33" s="7" t="s">
        <v>104</v>
      </c>
      <c r="L33" s="7">
        <v>2986</v>
      </c>
      <c r="M33" s="1">
        <v>41640</v>
      </c>
      <c r="N33" s="4">
        <v>1</v>
      </c>
      <c r="O33" s="2" t="s">
        <v>29</v>
      </c>
      <c r="P33" s="4">
        <v>2014</v>
      </c>
      <c r="Q33" t="str">
        <f>IF(Table1[[#This Row],[UnitsSold]]&gt;3000,"Large",IF(Table1[[#This Row],[UnitsSold]]&gt;1500,"Midium","Small"))</f>
        <v>Small</v>
      </c>
    </row>
    <row r="34" spans="1:17" x14ac:dyDescent="0.3">
      <c r="A34" s="2" t="s">
        <v>10</v>
      </c>
      <c r="B34" s="2" t="s">
        <v>8</v>
      </c>
      <c r="C34" s="2" t="s">
        <v>101</v>
      </c>
      <c r="D34" s="2" t="s">
        <v>24</v>
      </c>
      <c r="E34" s="4">
        <v>1804</v>
      </c>
      <c r="F34" s="7" t="s">
        <v>102</v>
      </c>
      <c r="G34" s="7">
        <v>125</v>
      </c>
      <c r="H34" s="7" t="s">
        <v>105</v>
      </c>
      <c r="I34" s="7" t="s">
        <v>27</v>
      </c>
      <c r="J34" s="7" t="s">
        <v>1650</v>
      </c>
      <c r="K34" s="7" t="s">
        <v>106</v>
      </c>
      <c r="L34" s="7">
        <v>9020</v>
      </c>
      <c r="M34" s="1">
        <v>41671</v>
      </c>
      <c r="N34" s="4">
        <v>2</v>
      </c>
      <c r="O34" s="2" t="s">
        <v>74</v>
      </c>
      <c r="P34" s="4">
        <v>2014</v>
      </c>
      <c r="Q34" t="str">
        <f>IF(Table1[[#This Row],[UnitsSold]]&gt;3000,"Large",IF(Table1[[#This Row],[UnitsSold]]&gt;1500,"Midium","Small"))</f>
        <v>Midium</v>
      </c>
    </row>
    <row r="35" spans="1:17" x14ac:dyDescent="0.3">
      <c r="A35" s="2" t="s">
        <v>47</v>
      </c>
      <c r="B35" s="2" t="s">
        <v>6</v>
      </c>
      <c r="C35" s="2" t="s">
        <v>101</v>
      </c>
      <c r="D35" s="2" t="s">
        <v>24</v>
      </c>
      <c r="E35" s="4">
        <v>2161</v>
      </c>
      <c r="F35" s="7" t="s">
        <v>102</v>
      </c>
      <c r="G35" s="7">
        <v>12</v>
      </c>
      <c r="H35" s="7" t="s">
        <v>107</v>
      </c>
      <c r="I35" s="7" t="s">
        <v>27</v>
      </c>
      <c r="J35" s="7">
        <v>25932</v>
      </c>
      <c r="K35" s="7" t="s">
        <v>108</v>
      </c>
      <c r="L35" s="7">
        <v>19449</v>
      </c>
      <c r="M35" s="1">
        <v>41699</v>
      </c>
      <c r="N35" s="4">
        <v>3</v>
      </c>
      <c r="O35" s="2" t="s">
        <v>46</v>
      </c>
      <c r="P35" s="4">
        <v>2014</v>
      </c>
      <c r="Q35" t="str">
        <f>IF(Table1[[#This Row],[UnitsSold]]&gt;3000,"Large",IF(Table1[[#This Row],[UnitsSold]]&gt;1500,"Midium","Small"))</f>
        <v>Midium</v>
      </c>
    </row>
    <row r="36" spans="1:17" x14ac:dyDescent="0.3">
      <c r="A36" s="2" t="s">
        <v>4</v>
      </c>
      <c r="B36" s="2" t="s">
        <v>6</v>
      </c>
      <c r="C36" s="2" t="s">
        <v>101</v>
      </c>
      <c r="D36" s="2" t="s">
        <v>24</v>
      </c>
      <c r="E36" s="4">
        <v>1006</v>
      </c>
      <c r="F36" s="7" t="s">
        <v>102</v>
      </c>
      <c r="G36" s="7">
        <v>350</v>
      </c>
      <c r="H36" s="7" t="s">
        <v>77</v>
      </c>
      <c r="I36" s="7" t="s">
        <v>27</v>
      </c>
      <c r="J36" s="7" t="s">
        <v>1647</v>
      </c>
      <c r="K36" s="7" t="s">
        <v>78</v>
      </c>
      <c r="L36" s="7">
        <v>90540</v>
      </c>
      <c r="M36" s="1">
        <v>41791</v>
      </c>
      <c r="N36" s="4">
        <v>6</v>
      </c>
      <c r="O36" s="2" t="s">
        <v>34</v>
      </c>
      <c r="P36" s="4">
        <v>2014</v>
      </c>
      <c r="Q36" t="str">
        <f>IF(Table1[[#This Row],[UnitsSold]]&gt;3000,"Large",IF(Table1[[#This Row],[UnitsSold]]&gt;1500,"Midium","Small"))</f>
        <v>Small</v>
      </c>
    </row>
    <row r="37" spans="1:17" x14ac:dyDescent="0.3">
      <c r="A37" s="2" t="s">
        <v>47</v>
      </c>
      <c r="B37" s="2" t="s">
        <v>6</v>
      </c>
      <c r="C37" s="2" t="s">
        <v>101</v>
      </c>
      <c r="D37" s="2" t="s">
        <v>24</v>
      </c>
      <c r="E37" s="4">
        <v>1545</v>
      </c>
      <c r="F37" s="7" t="s">
        <v>102</v>
      </c>
      <c r="G37" s="7">
        <v>12</v>
      </c>
      <c r="H37" s="7" t="s">
        <v>52</v>
      </c>
      <c r="I37" s="7" t="s">
        <v>27</v>
      </c>
      <c r="J37" s="7">
        <v>18540</v>
      </c>
      <c r="K37" s="7" t="s">
        <v>53</v>
      </c>
      <c r="L37" s="7">
        <v>13905</v>
      </c>
      <c r="M37" s="1">
        <v>41791</v>
      </c>
      <c r="N37" s="4">
        <v>6</v>
      </c>
      <c r="O37" s="2" t="s">
        <v>34</v>
      </c>
      <c r="P37" s="4">
        <v>2014</v>
      </c>
      <c r="Q37" t="str">
        <f>IF(Table1[[#This Row],[UnitsSold]]&gt;3000,"Large",IF(Table1[[#This Row],[UnitsSold]]&gt;1500,"Midium","Small"))</f>
        <v>Midium</v>
      </c>
    </row>
    <row r="38" spans="1:17" x14ac:dyDescent="0.3">
      <c r="A38" s="2" t="s">
        <v>10</v>
      </c>
      <c r="B38" s="2" t="s">
        <v>67</v>
      </c>
      <c r="C38" s="2" t="s">
        <v>101</v>
      </c>
      <c r="D38" s="2" t="s">
        <v>24</v>
      </c>
      <c r="E38" s="4">
        <v>2821</v>
      </c>
      <c r="F38" s="7" t="s">
        <v>102</v>
      </c>
      <c r="G38" s="7">
        <v>125</v>
      </c>
      <c r="H38" s="7" t="s">
        <v>109</v>
      </c>
      <c r="I38" s="7" t="s">
        <v>27</v>
      </c>
      <c r="J38" s="7" t="s">
        <v>1651</v>
      </c>
      <c r="K38" s="7" t="s">
        <v>110</v>
      </c>
      <c r="L38" s="7">
        <v>14105</v>
      </c>
      <c r="M38" s="1">
        <v>41852</v>
      </c>
      <c r="N38" s="4">
        <v>8</v>
      </c>
      <c r="O38" s="2" t="s">
        <v>60</v>
      </c>
      <c r="P38" s="4">
        <v>2014</v>
      </c>
      <c r="Q38" t="str">
        <f>IF(Table1[[#This Row],[UnitsSold]]&gt;3000,"Large",IF(Table1[[#This Row],[UnitsSold]]&gt;1500,"Midium","Small"))</f>
        <v>Midium</v>
      </c>
    </row>
    <row r="39" spans="1:17" x14ac:dyDescent="0.3">
      <c r="A39" s="2" t="s">
        <v>10</v>
      </c>
      <c r="B39" s="2" t="s">
        <v>5</v>
      </c>
      <c r="C39" s="2" t="s">
        <v>101</v>
      </c>
      <c r="D39" s="2" t="s">
        <v>24</v>
      </c>
      <c r="E39" s="4">
        <v>345</v>
      </c>
      <c r="F39" s="7" t="s">
        <v>102</v>
      </c>
      <c r="G39" s="7">
        <v>125</v>
      </c>
      <c r="H39" s="7" t="s">
        <v>64</v>
      </c>
      <c r="I39" s="7" t="s">
        <v>27</v>
      </c>
      <c r="J39" s="7">
        <v>43125</v>
      </c>
      <c r="K39" s="7" t="s">
        <v>65</v>
      </c>
      <c r="L39" s="7">
        <v>1725</v>
      </c>
      <c r="M39" s="1">
        <v>41548</v>
      </c>
      <c r="N39" s="4">
        <v>10</v>
      </c>
      <c r="O39" s="2" t="s">
        <v>66</v>
      </c>
      <c r="P39" s="4">
        <v>2013</v>
      </c>
      <c r="Q39" t="str">
        <f>IF(Table1[[#This Row],[UnitsSold]]&gt;3000,"Large",IF(Table1[[#This Row],[UnitsSold]]&gt;1500,"Midium","Small"))</f>
        <v>Small</v>
      </c>
    </row>
    <row r="40" spans="1:17" x14ac:dyDescent="0.3">
      <c r="A40" s="2" t="s">
        <v>57</v>
      </c>
      <c r="B40" s="2" t="s">
        <v>5</v>
      </c>
      <c r="C40" s="2" t="s">
        <v>111</v>
      </c>
      <c r="D40" s="2" t="s">
        <v>24</v>
      </c>
      <c r="E40" s="4">
        <v>2001</v>
      </c>
      <c r="F40" s="7" t="s">
        <v>112</v>
      </c>
      <c r="G40" s="7">
        <v>300</v>
      </c>
      <c r="H40" s="7" t="s">
        <v>113</v>
      </c>
      <c r="I40" s="7" t="s">
        <v>27</v>
      </c>
      <c r="J40" s="7" t="s">
        <v>1652</v>
      </c>
      <c r="K40" s="7" t="s">
        <v>114</v>
      </c>
      <c r="L40" s="7" t="s">
        <v>1859</v>
      </c>
      <c r="M40" s="1">
        <v>41671</v>
      </c>
      <c r="N40" s="4">
        <v>2</v>
      </c>
      <c r="O40" s="2" t="s">
        <v>74</v>
      </c>
      <c r="P40" s="4">
        <v>2014</v>
      </c>
      <c r="Q40" t="str">
        <f>IF(Table1[[#This Row],[UnitsSold]]&gt;3000,"Large",IF(Table1[[#This Row],[UnitsSold]]&gt;1500,"Midium","Small"))</f>
        <v>Midium</v>
      </c>
    </row>
    <row r="41" spans="1:17" x14ac:dyDescent="0.3">
      <c r="A41" s="2" t="s">
        <v>47</v>
      </c>
      <c r="B41" s="2" t="s">
        <v>6</v>
      </c>
      <c r="C41" s="2" t="s">
        <v>111</v>
      </c>
      <c r="D41" s="2" t="s">
        <v>24</v>
      </c>
      <c r="E41" s="4">
        <v>2838</v>
      </c>
      <c r="F41" s="7" t="s">
        <v>112</v>
      </c>
      <c r="G41" s="7">
        <v>12</v>
      </c>
      <c r="H41" s="7" t="s">
        <v>115</v>
      </c>
      <c r="I41" s="7" t="s">
        <v>27</v>
      </c>
      <c r="J41" s="7">
        <v>34056</v>
      </c>
      <c r="K41" s="7" t="s">
        <v>116</v>
      </c>
      <c r="L41" s="7">
        <v>25542</v>
      </c>
      <c r="M41" s="1">
        <v>41730</v>
      </c>
      <c r="N41" s="4">
        <v>4</v>
      </c>
      <c r="O41" s="2" t="s">
        <v>117</v>
      </c>
      <c r="P41" s="4">
        <v>2014</v>
      </c>
      <c r="Q41" t="str">
        <f>IF(Table1[[#This Row],[UnitsSold]]&gt;3000,"Large",IF(Table1[[#This Row],[UnitsSold]]&gt;1500,"Midium","Small"))</f>
        <v>Midium</v>
      </c>
    </row>
    <row r="42" spans="1:17" x14ac:dyDescent="0.3">
      <c r="A42" s="2" t="s">
        <v>7</v>
      </c>
      <c r="B42" s="2" t="s">
        <v>8</v>
      </c>
      <c r="C42" s="2" t="s">
        <v>111</v>
      </c>
      <c r="D42" s="2" t="s">
        <v>24</v>
      </c>
      <c r="E42" s="4">
        <v>2178</v>
      </c>
      <c r="F42" s="7" t="s">
        <v>112</v>
      </c>
      <c r="G42" s="7">
        <v>15</v>
      </c>
      <c r="H42" s="7" t="s">
        <v>32</v>
      </c>
      <c r="I42" s="7" t="s">
        <v>27</v>
      </c>
      <c r="J42" s="7">
        <v>32670</v>
      </c>
      <c r="K42" s="7" t="s">
        <v>33</v>
      </c>
      <c r="L42" s="7">
        <v>10890</v>
      </c>
      <c r="M42" s="1">
        <v>41791</v>
      </c>
      <c r="N42" s="4">
        <v>6</v>
      </c>
      <c r="O42" s="2" t="s">
        <v>34</v>
      </c>
      <c r="P42" s="4">
        <v>2014</v>
      </c>
      <c r="Q42" t="str">
        <f>IF(Table1[[#This Row],[UnitsSold]]&gt;3000,"Large",IF(Table1[[#This Row],[UnitsSold]]&gt;1500,"Midium","Small"))</f>
        <v>Midium</v>
      </c>
    </row>
    <row r="43" spans="1:17" x14ac:dyDescent="0.3">
      <c r="A43" s="2" t="s">
        <v>7</v>
      </c>
      <c r="B43" s="2" t="s">
        <v>6</v>
      </c>
      <c r="C43" s="2" t="s">
        <v>111</v>
      </c>
      <c r="D43" s="2" t="s">
        <v>24</v>
      </c>
      <c r="E43" s="4">
        <v>888</v>
      </c>
      <c r="F43" s="7" t="s">
        <v>112</v>
      </c>
      <c r="G43" s="7">
        <v>15</v>
      </c>
      <c r="H43" s="7" t="s">
        <v>35</v>
      </c>
      <c r="I43" s="7" t="s">
        <v>27</v>
      </c>
      <c r="J43" s="7">
        <v>13320</v>
      </c>
      <c r="K43" s="7" t="s">
        <v>36</v>
      </c>
      <c r="L43" s="7">
        <v>4440</v>
      </c>
      <c r="M43" s="1">
        <v>41791</v>
      </c>
      <c r="N43" s="4">
        <v>6</v>
      </c>
      <c r="O43" s="2" t="s">
        <v>34</v>
      </c>
      <c r="P43" s="4">
        <v>2014</v>
      </c>
      <c r="Q43" t="str">
        <f>IF(Table1[[#This Row],[UnitsSold]]&gt;3000,"Large",IF(Table1[[#This Row],[UnitsSold]]&gt;1500,"Midium","Small"))</f>
        <v>Small</v>
      </c>
    </row>
    <row r="44" spans="1:17" x14ac:dyDescent="0.3">
      <c r="A44" s="2" t="s">
        <v>4</v>
      </c>
      <c r="B44" s="2" t="s">
        <v>8</v>
      </c>
      <c r="C44" s="2" t="s">
        <v>111</v>
      </c>
      <c r="D44" s="2" t="s">
        <v>24</v>
      </c>
      <c r="E44" s="4">
        <v>1527</v>
      </c>
      <c r="F44" s="7" t="s">
        <v>112</v>
      </c>
      <c r="G44" s="7">
        <v>350</v>
      </c>
      <c r="H44" s="7" t="s">
        <v>118</v>
      </c>
      <c r="I44" s="7" t="s">
        <v>27</v>
      </c>
      <c r="J44" s="7" t="s">
        <v>1653</v>
      </c>
      <c r="K44" s="7" t="s">
        <v>119</v>
      </c>
      <c r="L44" s="7" t="s">
        <v>1860</v>
      </c>
      <c r="M44" s="1">
        <v>41518</v>
      </c>
      <c r="N44" s="4">
        <v>9</v>
      </c>
      <c r="O44" s="2" t="s">
        <v>63</v>
      </c>
      <c r="P44" s="4">
        <v>2013</v>
      </c>
      <c r="Q44" t="str">
        <f>IF(Table1[[#This Row],[UnitsSold]]&gt;3000,"Large",IF(Table1[[#This Row],[UnitsSold]]&gt;1500,"Midium","Small"))</f>
        <v>Midium</v>
      </c>
    </row>
    <row r="45" spans="1:17" x14ac:dyDescent="0.3">
      <c r="A45" s="2" t="s">
        <v>57</v>
      </c>
      <c r="B45" s="2" t="s">
        <v>8</v>
      </c>
      <c r="C45" s="2" t="s">
        <v>111</v>
      </c>
      <c r="D45" s="2" t="s">
        <v>24</v>
      </c>
      <c r="E45" s="4">
        <v>2151</v>
      </c>
      <c r="F45" s="7" t="s">
        <v>112</v>
      </c>
      <c r="G45" s="7">
        <v>300</v>
      </c>
      <c r="H45" s="7" t="s">
        <v>120</v>
      </c>
      <c r="I45" s="7" t="s">
        <v>27</v>
      </c>
      <c r="J45" s="7" t="s">
        <v>1654</v>
      </c>
      <c r="K45" s="7" t="s">
        <v>121</v>
      </c>
      <c r="L45" s="7" t="s">
        <v>1861</v>
      </c>
      <c r="M45" s="1">
        <v>41883</v>
      </c>
      <c r="N45" s="4">
        <v>9</v>
      </c>
      <c r="O45" s="2" t="s">
        <v>63</v>
      </c>
      <c r="P45" s="4">
        <v>2014</v>
      </c>
      <c r="Q45" t="str">
        <f>IF(Table1[[#This Row],[UnitsSold]]&gt;3000,"Large",IF(Table1[[#This Row],[UnitsSold]]&gt;1500,"Midium","Small"))</f>
        <v>Midium</v>
      </c>
    </row>
    <row r="46" spans="1:17" x14ac:dyDescent="0.3">
      <c r="A46" s="2" t="s">
        <v>4</v>
      </c>
      <c r="B46" s="2" t="s">
        <v>5</v>
      </c>
      <c r="C46" s="2" t="s">
        <v>111</v>
      </c>
      <c r="D46" s="2" t="s">
        <v>24</v>
      </c>
      <c r="E46" s="4">
        <v>1817</v>
      </c>
      <c r="F46" s="7" t="s">
        <v>112</v>
      </c>
      <c r="G46" s="7">
        <v>20</v>
      </c>
      <c r="H46" s="7" t="s">
        <v>99</v>
      </c>
      <c r="I46" s="7" t="s">
        <v>27</v>
      </c>
      <c r="J46" s="7">
        <v>36340</v>
      </c>
      <c r="K46" s="7" t="s">
        <v>100</v>
      </c>
      <c r="L46" s="7">
        <v>18170</v>
      </c>
      <c r="M46" s="1">
        <v>41974</v>
      </c>
      <c r="N46" s="4">
        <v>12</v>
      </c>
      <c r="O46" s="2" t="s">
        <v>41</v>
      </c>
      <c r="P46" s="4">
        <v>2014</v>
      </c>
      <c r="Q46" t="str">
        <f>IF(Table1[[#This Row],[UnitsSold]]&gt;3000,"Large",IF(Table1[[#This Row],[UnitsSold]]&gt;1500,"Midium","Small"))</f>
        <v>Midium</v>
      </c>
    </row>
    <row r="47" spans="1:17" x14ac:dyDescent="0.3">
      <c r="A47" s="2" t="s">
        <v>4</v>
      </c>
      <c r="B47" s="2" t="s">
        <v>8</v>
      </c>
      <c r="C47" s="2" t="s">
        <v>122</v>
      </c>
      <c r="D47" s="2" t="s">
        <v>24</v>
      </c>
      <c r="E47" s="4">
        <v>2750</v>
      </c>
      <c r="F47" s="7" t="s">
        <v>123</v>
      </c>
      <c r="G47" s="7">
        <v>350</v>
      </c>
      <c r="H47" s="7" t="s">
        <v>124</v>
      </c>
      <c r="I47" s="7" t="s">
        <v>27</v>
      </c>
      <c r="J47" s="7" t="s">
        <v>1655</v>
      </c>
      <c r="K47" s="7" t="s">
        <v>125</v>
      </c>
      <c r="L47" s="7" t="s">
        <v>1862</v>
      </c>
      <c r="M47" s="1">
        <v>41671</v>
      </c>
      <c r="N47" s="4">
        <v>2</v>
      </c>
      <c r="O47" s="2" t="s">
        <v>74</v>
      </c>
      <c r="P47" s="4">
        <v>2014</v>
      </c>
      <c r="Q47" t="str">
        <f>IF(Table1[[#This Row],[UnitsSold]]&gt;3000,"Large",IF(Table1[[#This Row],[UnitsSold]]&gt;1500,"Midium","Small"))</f>
        <v>Midium</v>
      </c>
    </row>
    <row r="48" spans="1:17" x14ac:dyDescent="0.3">
      <c r="A48" s="2" t="s">
        <v>47</v>
      </c>
      <c r="B48" s="2" t="s">
        <v>67</v>
      </c>
      <c r="C48" s="2" t="s">
        <v>122</v>
      </c>
      <c r="D48" s="2" t="s">
        <v>24</v>
      </c>
      <c r="E48" s="4">
        <v>1953</v>
      </c>
      <c r="F48" s="7" t="s">
        <v>123</v>
      </c>
      <c r="G48" s="7">
        <v>12</v>
      </c>
      <c r="H48" s="7" t="s">
        <v>126</v>
      </c>
      <c r="I48" s="7" t="s">
        <v>27</v>
      </c>
      <c r="J48" s="7">
        <v>23436</v>
      </c>
      <c r="K48" s="7" t="s">
        <v>127</v>
      </c>
      <c r="L48" s="7">
        <v>17577</v>
      </c>
      <c r="M48" s="1">
        <v>41730</v>
      </c>
      <c r="N48" s="4">
        <v>4</v>
      </c>
      <c r="O48" s="2" t="s">
        <v>117</v>
      </c>
      <c r="P48" s="4">
        <v>2014</v>
      </c>
      <c r="Q48" t="str">
        <f>IF(Table1[[#This Row],[UnitsSold]]&gt;3000,"Large",IF(Table1[[#This Row],[UnitsSold]]&gt;1500,"Midium","Small"))</f>
        <v>Midium</v>
      </c>
    </row>
    <row r="49" spans="1:17" x14ac:dyDescent="0.3">
      <c r="A49" s="2" t="s">
        <v>10</v>
      </c>
      <c r="B49" s="2" t="s">
        <v>6</v>
      </c>
      <c r="C49" s="2" t="s">
        <v>122</v>
      </c>
      <c r="D49" s="2" t="s">
        <v>24</v>
      </c>
      <c r="E49" s="4">
        <v>4219.5</v>
      </c>
      <c r="F49" s="7" t="s">
        <v>123</v>
      </c>
      <c r="G49" s="7">
        <v>125</v>
      </c>
      <c r="H49" s="7" t="s">
        <v>128</v>
      </c>
      <c r="I49" s="7" t="s">
        <v>27</v>
      </c>
      <c r="J49" s="7" t="s">
        <v>1656</v>
      </c>
      <c r="K49" s="7" t="s">
        <v>129</v>
      </c>
      <c r="L49" s="7">
        <v>21097.5</v>
      </c>
      <c r="M49" s="1">
        <v>41730</v>
      </c>
      <c r="N49" s="4">
        <v>4</v>
      </c>
      <c r="O49" s="2" t="s">
        <v>117</v>
      </c>
      <c r="P49" s="4">
        <v>2014</v>
      </c>
      <c r="Q49" t="str">
        <f>IF(Table1[[#This Row],[UnitsSold]]&gt;3000,"Large",IF(Table1[[#This Row],[UnitsSold]]&gt;1500,"Midium","Small"))</f>
        <v>Large</v>
      </c>
    </row>
    <row r="50" spans="1:17" x14ac:dyDescent="0.3">
      <c r="A50" s="2" t="s">
        <v>4</v>
      </c>
      <c r="B50" s="2" t="s">
        <v>8</v>
      </c>
      <c r="C50" s="2" t="s">
        <v>122</v>
      </c>
      <c r="D50" s="2" t="s">
        <v>24</v>
      </c>
      <c r="E50" s="4">
        <v>1899</v>
      </c>
      <c r="F50" s="7" t="s">
        <v>123</v>
      </c>
      <c r="G50" s="7">
        <v>20</v>
      </c>
      <c r="H50" s="7" t="s">
        <v>50</v>
      </c>
      <c r="I50" s="7" t="s">
        <v>27</v>
      </c>
      <c r="J50" s="7">
        <v>37980</v>
      </c>
      <c r="K50" s="7" t="s">
        <v>51</v>
      </c>
      <c r="L50" s="7">
        <v>18990</v>
      </c>
      <c r="M50" s="1">
        <v>41791</v>
      </c>
      <c r="N50" s="4">
        <v>6</v>
      </c>
      <c r="O50" s="2" t="s">
        <v>34</v>
      </c>
      <c r="P50" s="4">
        <v>2014</v>
      </c>
      <c r="Q50" t="str">
        <f>IF(Table1[[#This Row],[UnitsSold]]&gt;3000,"Large",IF(Table1[[#This Row],[UnitsSold]]&gt;1500,"Midium","Small"))</f>
        <v>Midium</v>
      </c>
    </row>
    <row r="51" spans="1:17" x14ac:dyDescent="0.3">
      <c r="A51" s="2" t="s">
        <v>4</v>
      </c>
      <c r="B51" s="2" t="s">
        <v>6</v>
      </c>
      <c r="C51" s="2" t="s">
        <v>122</v>
      </c>
      <c r="D51" s="2" t="s">
        <v>24</v>
      </c>
      <c r="E51" s="4">
        <v>1686</v>
      </c>
      <c r="F51" s="7" t="s">
        <v>123</v>
      </c>
      <c r="G51" s="7">
        <v>7</v>
      </c>
      <c r="H51" s="7" t="s">
        <v>131</v>
      </c>
      <c r="I51" s="7" t="s">
        <v>27</v>
      </c>
      <c r="J51" s="7">
        <v>11802</v>
      </c>
      <c r="K51" s="7" t="s">
        <v>132</v>
      </c>
      <c r="L51" s="7">
        <v>3372</v>
      </c>
      <c r="M51" s="1">
        <v>41821</v>
      </c>
      <c r="N51" s="4">
        <v>7</v>
      </c>
      <c r="O51" s="2" t="s">
        <v>56</v>
      </c>
      <c r="P51" s="4">
        <v>2014</v>
      </c>
      <c r="Q51" t="str">
        <f>IF(Table1[[#This Row],[UnitsSold]]&gt;3000,"Large",IF(Table1[[#This Row],[UnitsSold]]&gt;1500,"Midium","Small"))</f>
        <v>Midium</v>
      </c>
    </row>
    <row r="52" spans="1:17" x14ac:dyDescent="0.3">
      <c r="A52" s="2" t="s">
        <v>47</v>
      </c>
      <c r="B52" s="2" t="s">
        <v>67</v>
      </c>
      <c r="C52" s="2" t="s">
        <v>122</v>
      </c>
      <c r="D52" s="2" t="s">
        <v>24</v>
      </c>
      <c r="E52" s="4">
        <v>2141</v>
      </c>
      <c r="F52" s="7" t="s">
        <v>123</v>
      </c>
      <c r="G52" s="7">
        <v>12</v>
      </c>
      <c r="H52" s="7" t="s">
        <v>133</v>
      </c>
      <c r="I52" s="7" t="s">
        <v>27</v>
      </c>
      <c r="J52" s="7">
        <v>25692</v>
      </c>
      <c r="K52" s="7" t="s">
        <v>134</v>
      </c>
      <c r="L52" s="7">
        <v>19269</v>
      </c>
      <c r="M52" s="1">
        <v>41852</v>
      </c>
      <c r="N52" s="4">
        <v>8</v>
      </c>
      <c r="O52" s="2" t="s">
        <v>60</v>
      </c>
      <c r="P52" s="4">
        <v>2014</v>
      </c>
      <c r="Q52" t="str">
        <f>IF(Table1[[#This Row],[UnitsSold]]&gt;3000,"Large",IF(Table1[[#This Row],[UnitsSold]]&gt;1500,"Midium","Small"))</f>
        <v>Midium</v>
      </c>
    </row>
    <row r="53" spans="1:17" x14ac:dyDescent="0.3">
      <c r="A53" s="2" t="s">
        <v>4</v>
      </c>
      <c r="B53" s="2" t="s">
        <v>67</v>
      </c>
      <c r="C53" s="2" t="s">
        <v>122</v>
      </c>
      <c r="D53" s="2" t="s">
        <v>24</v>
      </c>
      <c r="E53" s="4">
        <v>1143</v>
      </c>
      <c r="F53" s="7" t="s">
        <v>123</v>
      </c>
      <c r="G53" s="7">
        <v>7</v>
      </c>
      <c r="H53" s="7" t="s">
        <v>90</v>
      </c>
      <c r="I53" s="7" t="s">
        <v>27</v>
      </c>
      <c r="J53" s="7">
        <v>8001</v>
      </c>
      <c r="K53" s="7" t="s">
        <v>91</v>
      </c>
      <c r="L53" s="7">
        <v>2286</v>
      </c>
      <c r="M53" s="1">
        <v>41913</v>
      </c>
      <c r="N53" s="4">
        <v>10</v>
      </c>
      <c r="O53" s="2" t="s">
        <v>66</v>
      </c>
      <c r="P53" s="4">
        <v>2014</v>
      </c>
      <c r="Q53" t="str">
        <f>IF(Table1[[#This Row],[UnitsSold]]&gt;3000,"Large",IF(Table1[[#This Row],[UnitsSold]]&gt;1500,"Midium","Small"))</f>
        <v>Small</v>
      </c>
    </row>
    <row r="54" spans="1:17" x14ac:dyDescent="0.3">
      <c r="A54" s="2" t="s">
        <v>7</v>
      </c>
      <c r="B54" s="2" t="s">
        <v>67</v>
      </c>
      <c r="C54" s="2" t="s">
        <v>122</v>
      </c>
      <c r="D54" s="2" t="s">
        <v>24</v>
      </c>
      <c r="E54" s="4">
        <v>615</v>
      </c>
      <c r="F54" s="7" t="s">
        <v>123</v>
      </c>
      <c r="G54" s="7">
        <v>15</v>
      </c>
      <c r="H54" s="7" t="s">
        <v>68</v>
      </c>
      <c r="I54" s="7" t="s">
        <v>27</v>
      </c>
      <c r="J54" s="7">
        <v>9225</v>
      </c>
      <c r="K54" s="7" t="s">
        <v>69</v>
      </c>
      <c r="L54" s="7">
        <v>3075</v>
      </c>
      <c r="M54" s="1">
        <v>41974</v>
      </c>
      <c r="N54" s="4">
        <v>12</v>
      </c>
      <c r="O54" s="2" t="s">
        <v>41</v>
      </c>
      <c r="P54" s="4">
        <v>2014</v>
      </c>
      <c r="Q54" t="str">
        <f>IF(Table1[[#This Row],[UnitsSold]]&gt;3000,"Large",IF(Table1[[#This Row],[UnitsSold]]&gt;1500,"Midium","Small"))</f>
        <v>Small</v>
      </c>
    </row>
    <row r="55" spans="1:17" x14ac:dyDescent="0.3">
      <c r="A55" s="2" t="s">
        <v>4</v>
      </c>
      <c r="B55" s="2" t="s">
        <v>8</v>
      </c>
      <c r="C55" s="2" t="s">
        <v>70</v>
      </c>
      <c r="D55" s="2" t="s">
        <v>135</v>
      </c>
      <c r="E55" s="4">
        <v>3945</v>
      </c>
      <c r="F55" s="7" t="s">
        <v>71</v>
      </c>
      <c r="G55" s="7">
        <v>7</v>
      </c>
      <c r="H55" s="7" t="s">
        <v>136</v>
      </c>
      <c r="I55" s="7" t="s">
        <v>137</v>
      </c>
      <c r="J55" s="7">
        <v>27338.85</v>
      </c>
      <c r="K55" s="7" t="s">
        <v>138</v>
      </c>
      <c r="L55" s="7">
        <v>7613.85</v>
      </c>
      <c r="M55" s="1">
        <v>41640</v>
      </c>
      <c r="N55" s="4">
        <v>1</v>
      </c>
      <c r="O55" s="2" t="s">
        <v>29</v>
      </c>
      <c r="P55" s="4">
        <v>2014</v>
      </c>
      <c r="Q55" t="str">
        <f>IF(Table1[[#This Row],[UnitsSold]]&gt;3000,"Large",IF(Table1[[#This Row],[UnitsSold]]&gt;1500,"Midium","Small"))</f>
        <v>Large</v>
      </c>
    </row>
    <row r="56" spans="1:17" x14ac:dyDescent="0.3">
      <c r="A56" s="2" t="s">
        <v>7</v>
      </c>
      <c r="B56" s="2" t="s">
        <v>8</v>
      </c>
      <c r="C56" s="2" t="s">
        <v>70</v>
      </c>
      <c r="D56" s="2" t="s">
        <v>135</v>
      </c>
      <c r="E56" s="4">
        <v>2296</v>
      </c>
      <c r="F56" s="7" t="s">
        <v>71</v>
      </c>
      <c r="G56" s="7">
        <v>15</v>
      </c>
      <c r="H56" s="7" t="s">
        <v>139</v>
      </c>
      <c r="I56" s="7" t="s">
        <v>140</v>
      </c>
      <c r="J56" s="7">
        <v>34095.599999999999</v>
      </c>
      <c r="K56" s="7" t="s">
        <v>141</v>
      </c>
      <c r="L56" s="7">
        <v>11135.6</v>
      </c>
      <c r="M56" s="1">
        <v>41671</v>
      </c>
      <c r="N56" s="4">
        <v>2</v>
      </c>
      <c r="O56" s="2" t="s">
        <v>74</v>
      </c>
      <c r="P56" s="4">
        <v>2014</v>
      </c>
      <c r="Q56" t="str">
        <f>IF(Table1[[#This Row],[UnitsSold]]&gt;3000,"Large",IF(Table1[[#This Row],[UnitsSold]]&gt;1500,"Midium","Small"))</f>
        <v>Midium</v>
      </c>
    </row>
    <row r="57" spans="1:17" x14ac:dyDescent="0.3">
      <c r="A57" s="2" t="s">
        <v>4</v>
      </c>
      <c r="B57" s="2" t="s">
        <v>8</v>
      </c>
      <c r="C57" s="2" t="s">
        <v>70</v>
      </c>
      <c r="D57" s="2" t="s">
        <v>135</v>
      </c>
      <c r="E57" s="4">
        <v>1030</v>
      </c>
      <c r="F57" s="7" t="s">
        <v>71</v>
      </c>
      <c r="G57" s="7">
        <v>7</v>
      </c>
      <c r="H57" s="7" t="s">
        <v>142</v>
      </c>
      <c r="I57" s="7" t="s">
        <v>143</v>
      </c>
      <c r="J57" s="7">
        <v>7137.9</v>
      </c>
      <c r="K57" s="7" t="s">
        <v>144</v>
      </c>
      <c r="L57" s="7">
        <v>1987.9</v>
      </c>
      <c r="M57" s="1">
        <v>41760</v>
      </c>
      <c r="N57" s="4">
        <v>5</v>
      </c>
      <c r="O57" s="2" t="s">
        <v>145</v>
      </c>
      <c r="P57" s="4">
        <v>2014</v>
      </c>
      <c r="Q57" t="str">
        <f>IF(Table1[[#This Row],[UnitsSold]]&gt;3000,"Large",IF(Table1[[#This Row],[UnitsSold]]&gt;1500,"Midium","Small"))</f>
        <v>Small</v>
      </c>
    </row>
    <row r="58" spans="1:17" x14ac:dyDescent="0.3">
      <c r="A58" s="2" t="s">
        <v>4</v>
      </c>
      <c r="B58" s="2" t="s">
        <v>8</v>
      </c>
      <c r="C58" s="2" t="s">
        <v>101</v>
      </c>
      <c r="D58" s="2" t="s">
        <v>135</v>
      </c>
      <c r="E58" s="4">
        <v>639</v>
      </c>
      <c r="F58" s="7" t="s">
        <v>102</v>
      </c>
      <c r="G58" s="7">
        <v>7</v>
      </c>
      <c r="H58" s="7" t="s">
        <v>146</v>
      </c>
      <c r="I58" s="7" t="s">
        <v>147</v>
      </c>
      <c r="J58" s="7">
        <v>4428.2700000000004</v>
      </c>
      <c r="K58" s="7" t="s">
        <v>148</v>
      </c>
      <c r="L58" s="7">
        <v>1233.27</v>
      </c>
      <c r="M58" s="1">
        <v>41944</v>
      </c>
      <c r="N58" s="4">
        <v>11</v>
      </c>
      <c r="O58" s="2" t="s">
        <v>94</v>
      </c>
      <c r="P58" s="4">
        <v>2014</v>
      </c>
      <c r="Q58" t="str">
        <f>IF(Table1[[#This Row],[UnitsSold]]&gt;3000,"Large",IF(Table1[[#This Row],[UnitsSold]]&gt;1500,"Midium","Small"))</f>
        <v>Small</v>
      </c>
    </row>
    <row r="59" spans="1:17" x14ac:dyDescent="0.3">
      <c r="A59" s="2" t="s">
        <v>4</v>
      </c>
      <c r="B59" s="2" t="s">
        <v>5</v>
      </c>
      <c r="C59" s="2" t="s">
        <v>111</v>
      </c>
      <c r="D59" s="2" t="s">
        <v>135</v>
      </c>
      <c r="E59" s="4">
        <v>1326</v>
      </c>
      <c r="F59" s="7" t="s">
        <v>112</v>
      </c>
      <c r="G59" s="7">
        <v>7</v>
      </c>
      <c r="H59" s="7" t="s">
        <v>149</v>
      </c>
      <c r="I59" s="7" t="s">
        <v>150</v>
      </c>
      <c r="J59" s="7">
        <v>9189.18</v>
      </c>
      <c r="K59" s="7" t="s">
        <v>151</v>
      </c>
      <c r="L59" s="7">
        <v>2559.1799999999998</v>
      </c>
      <c r="M59" s="1">
        <v>41699</v>
      </c>
      <c r="N59" s="4">
        <v>3</v>
      </c>
      <c r="O59" s="2" t="s">
        <v>46</v>
      </c>
      <c r="P59" s="4">
        <v>2014</v>
      </c>
      <c r="Q59" t="str">
        <f>IF(Table1[[#This Row],[UnitsSold]]&gt;3000,"Large",IF(Table1[[#This Row],[UnitsSold]]&gt;1500,"Midium","Small"))</f>
        <v>Small</v>
      </c>
    </row>
    <row r="60" spans="1:17" x14ac:dyDescent="0.3">
      <c r="A60" s="2" t="s">
        <v>47</v>
      </c>
      <c r="B60" s="2" t="s">
        <v>67</v>
      </c>
      <c r="C60" s="2" t="s">
        <v>23</v>
      </c>
      <c r="D60" s="2" t="s">
        <v>135</v>
      </c>
      <c r="E60" s="4">
        <v>1858</v>
      </c>
      <c r="F60" s="7" t="s">
        <v>25</v>
      </c>
      <c r="G60" s="7">
        <v>12</v>
      </c>
      <c r="H60" s="7" t="s">
        <v>152</v>
      </c>
      <c r="I60" s="7" t="s">
        <v>153</v>
      </c>
      <c r="J60" s="7">
        <v>22073.040000000001</v>
      </c>
      <c r="K60" s="7" t="s">
        <v>154</v>
      </c>
      <c r="L60" s="7">
        <v>16499.04</v>
      </c>
      <c r="M60" s="1">
        <v>41671</v>
      </c>
      <c r="N60" s="4">
        <v>2</v>
      </c>
      <c r="O60" s="2" t="s">
        <v>74</v>
      </c>
      <c r="P60" s="4">
        <v>2014</v>
      </c>
      <c r="Q60" t="str">
        <f>IF(Table1[[#This Row],[UnitsSold]]&gt;3000,"Large",IF(Table1[[#This Row],[UnitsSold]]&gt;1500,"Midium","Small"))</f>
        <v>Midium</v>
      </c>
    </row>
    <row r="61" spans="1:17" x14ac:dyDescent="0.3">
      <c r="A61" s="2" t="s">
        <v>4</v>
      </c>
      <c r="B61" s="2" t="s">
        <v>9</v>
      </c>
      <c r="C61" s="2" t="s">
        <v>23</v>
      </c>
      <c r="D61" s="2" t="s">
        <v>135</v>
      </c>
      <c r="E61" s="4">
        <v>1210</v>
      </c>
      <c r="F61" s="7" t="s">
        <v>25</v>
      </c>
      <c r="G61" s="7">
        <v>350</v>
      </c>
      <c r="H61" s="7" t="s">
        <v>155</v>
      </c>
      <c r="I61" s="7" t="s">
        <v>156</v>
      </c>
      <c r="J61" s="7" t="s">
        <v>1657</v>
      </c>
      <c r="K61" s="7" t="s">
        <v>157</v>
      </c>
      <c r="L61" s="7" t="s">
        <v>1863</v>
      </c>
      <c r="M61" s="1">
        <v>41699</v>
      </c>
      <c r="N61" s="4">
        <v>3</v>
      </c>
      <c r="O61" s="2" t="s">
        <v>46</v>
      </c>
      <c r="P61" s="4">
        <v>2014</v>
      </c>
      <c r="Q61" t="str">
        <f>IF(Table1[[#This Row],[UnitsSold]]&gt;3000,"Large",IF(Table1[[#This Row],[UnitsSold]]&gt;1500,"Midium","Small"))</f>
        <v>Small</v>
      </c>
    </row>
    <row r="62" spans="1:17" x14ac:dyDescent="0.3">
      <c r="A62" s="2" t="s">
        <v>4</v>
      </c>
      <c r="B62" s="2" t="s">
        <v>67</v>
      </c>
      <c r="C62" s="2" t="s">
        <v>23</v>
      </c>
      <c r="D62" s="2" t="s">
        <v>135</v>
      </c>
      <c r="E62" s="4">
        <v>2529</v>
      </c>
      <c r="F62" s="7" t="s">
        <v>25</v>
      </c>
      <c r="G62" s="7">
        <v>7</v>
      </c>
      <c r="H62" s="7" t="s">
        <v>158</v>
      </c>
      <c r="I62" s="7" t="s">
        <v>159</v>
      </c>
      <c r="J62" s="7">
        <v>17525.97</v>
      </c>
      <c r="K62" s="7" t="s">
        <v>160</v>
      </c>
      <c r="L62" s="7">
        <v>4880.97</v>
      </c>
      <c r="M62" s="1">
        <v>41821</v>
      </c>
      <c r="N62" s="4">
        <v>7</v>
      </c>
      <c r="O62" s="2" t="s">
        <v>56</v>
      </c>
      <c r="P62" s="4">
        <v>2014</v>
      </c>
      <c r="Q62" t="str">
        <f>IF(Table1[[#This Row],[UnitsSold]]&gt;3000,"Large",IF(Table1[[#This Row],[UnitsSold]]&gt;1500,"Midium","Small"))</f>
        <v>Midium</v>
      </c>
    </row>
    <row r="63" spans="1:17" x14ac:dyDescent="0.3">
      <c r="A63" s="2" t="s">
        <v>47</v>
      </c>
      <c r="B63" s="2" t="s">
        <v>5</v>
      </c>
      <c r="C63" s="2" t="s">
        <v>23</v>
      </c>
      <c r="D63" s="2" t="s">
        <v>135</v>
      </c>
      <c r="E63" s="4">
        <v>1445</v>
      </c>
      <c r="F63" s="7" t="s">
        <v>25</v>
      </c>
      <c r="G63" s="7">
        <v>12</v>
      </c>
      <c r="H63" s="7" t="s">
        <v>161</v>
      </c>
      <c r="I63" s="7" t="s">
        <v>162</v>
      </c>
      <c r="J63" s="7">
        <v>17166.599999999999</v>
      </c>
      <c r="K63" s="7" t="s">
        <v>163</v>
      </c>
      <c r="L63" s="7">
        <v>12831.6</v>
      </c>
      <c r="M63" s="1">
        <v>41883</v>
      </c>
      <c r="N63" s="4">
        <v>9</v>
      </c>
      <c r="O63" s="2" t="s">
        <v>63</v>
      </c>
      <c r="P63" s="4">
        <v>2014</v>
      </c>
      <c r="Q63" t="str">
        <f>IF(Table1[[#This Row],[UnitsSold]]&gt;3000,"Large",IF(Table1[[#This Row],[UnitsSold]]&gt;1500,"Midium","Small"))</f>
        <v>Small</v>
      </c>
    </row>
    <row r="64" spans="1:17" x14ac:dyDescent="0.3">
      <c r="A64" s="2" t="s">
        <v>10</v>
      </c>
      <c r="B64" s="2" t="s">
        <v>67</v>
      </c>
      <c r="C64" s="2" t="s">
        <v>23</v>
      </c>
      <c r="D64" s="2" t="s">
        <v>135</v>
      </c>
      <c r="E64" s="4">
        <v>330</v>
      </c>
      <c r="F64" s="7" t="s">
        <v>25</v>
      </c>
      <c r="G64" s="7">
        <v>125</v>
      </c>
      <c r="H64" s="7" t="s">
        <v>164</v>
      </c>
      <c r="I64" s="7" t="s">
        <v>165</v>
      </c>
      <c r="J64" s="7">
        <v>40837.5</v>
      </c>
      <c r="K64" s="7" t="s">
        <v>166</v>
      </c>
      <c r="L64" s="7">
        <v>1237.5</v>
      </c>
      <c r="M64" s="1">
        <v>41518</v>
      </c>
      <c r="N64" s="4">
        <v>9</v>
      </c>
      <c r="O64" s="2" t="s">
        <v>63</v>
      </c>
      <c r="P64" s="4">
        <v>2013</v>
      </c>
      <c r="Q64" t="str">
        <f>IF(Table1[[#This Row],[UnitsSold]]&gt;3000,"Large",IF(Table1[[#This Row],[UnitsSold]]&gt;1500,"Midium","Small"))</f>
        <v>Small</v>
      </c>
    </row>
    <row r="65" spans="1:17" x14ac:dyDescent="0.3">
      <c r="A65" s="2" t="s">
        <v>47</v>
      </c>
      <c r="B65" s="2" t="s">
        <v>8</v>
      </c>
      <c r="C65" s="2" t="s">
        <v>23</v>
      </c>
      <c r="D65" s="2" t="s">
        <v>135</v>
      </c>
      <c r="E65" s="4">
        <v>2671</v>
      </c>
      <c r="F65" s="7" t="s">
        <v>25</v>
      </c>
      <c r="G65" s="7">
        <v>12</v>
      </c>
      <c r="H65" s="7" t="s">
        <v>167</v>
      </c>
      <c r="I65" s="7" t="s">
        <v>168</v>
      </c>
      <c r="J65" s="7">
        <v>31731.48</v>
      </c>
      <c r="K65" s="7" t="s">
        <v>169</v>
      </c>
      <c r="L65" s="7">
        <v>23718.48</v>
      </c>
      <c r="M65" s="1">
        <v>41883</v>
      </c>
      <c r="N65" s="4">
        <v>9</v>
      </c>
      <c r="O65" s="2" t="s">
        <v>63</v>
      </c>
      <c r="P65" s="4">
        <v>2014</v>
      </c>
      <c r="Q65" t="str">
        <f>IF(Table1[[#This Row],[UnitsSold]]&gt;3000,"Large",IF(Table1[[#This Row],[UnitsSold]]&gt;1500,"Midium","Small"))</f>
        <v>Midium</v>
      </c>
    </row>
    <row r="66" spans="1:17" x14ac:dyDescent="0.3">
      <c r="A66" s="2" t="s">
        <v>47</v>
      </c>
      <c r="B66" s="2" t="s">
        <v>6</v>
      </c>
      <c r="C66" s="2" t="s">
        <v>23</v>
      </c>
      <c r="D66" s="2" t="s">
        <v>135</v>
      </c>
      <c r="E66" s="4">
        <v>766</v>
      </c>
      <c r="F66" s="7" t="s">
        <v>25</v>
      </c>
      <c r="G66" s="7">
        <v>12</v>
      </c>
      <c r="H66" s="7" t="s">
        <v>170</v>
      </c>
      <c r="I66" s="7" t="s">
        <v>171</v>
      </c>
      <c r="J66" s="7">
        <v>9100.08</v>
      </c>
      <c r="K66" s="7" t="s">
        <v>172</v>
      </c>
      <c r="L66" s="7">
        <v>6802.08</v>
      </c>
      <c r="M66" s="1">
        <v>41548</v>
      </c>
      <c r="N66" s="4">
        <v>10</v>
      </c>
      <c r="O66" s="2" t="s">
        <v>66</v>
      </c>
      <c r="P66" s="4">
        <v>2013</v>
      </c>
      <c r="Q66" t="str">
        <f>IF(Table1[[#This Row],[UnitsSold]]&gt;3000,"Large",IF(Table1[[#This Row],[UnitsSold]]&gt;1500,"Midium","Small"))</f>
        <v>Small</v>
      </c>
    </row>
    <row r="67" spans="1:17" x14ac:dyDescent="0.3">
      <c r="A67" s="2" t="s">
        <v>57</v>
      </c>
      <c r="B67" s="2" t="s">
        <v>9</v>
      </c>
      <c r="C67" s="2" t="s">
        <v>23</v>
      </c>
      <c r="D67" s="2" t="s">
        <v>135</v>
      </c>
      <c r="E67" s="4">
        <v>494</v>
      </c>
      <c r="F67" s="7" t="s">
        <v>25</v>
      </c>
      <c r="G67" s="7">
        <v>300</v>
      </c>
      <c r="H67" s="7" t="s">
        <v>173</v>
      </c>
      <c r="I67" s="7" t="s">
        <v>174</v>
      </c>
      <c r="J67" s="7" t="s">
        <v>1658</v>
      </c>
      <c r="K67" s="7" t="s">
        <v>175</v>
      </c>
      <c r="L67" s="7">
        <v>23218</v>
      </c>
      <c r="M67" s="1">
        <v>41548</v>
      </c>
      <c r="N67" s="4">
        <v>10</v>
      </c>
      <c r="O67" s="2" t="s">
        <v>66</v>
      </c>
      <c r="P67" s="4">
        <v>2013</v>
      </c>
      <c r="Q67" t="str">
        <f>IF(Table1[[#This Row],[UnitsSold]]&gt;3000,"Large",IF(Table1[[#This Row],[UnitsSold]]&gt;1500,"Midium","Small"))</f>
        <v>Small</v>
      </c>
    </row>
    <row r="68" spans="1:17" x14ac:dyDescent="0.3">
      <c r="A68" s="2" t="s">
        <v>4</v>
      </c>
      <c r="B68" s="2" t="s">
        <v>9</v>
      </c>
      <c r="C68" s="2" t="s">
        <v>23</v>
      </c>
      <c r="D68" s="2" t="s">
        <v>135</v>
      </c>
      <c r="E68" s="4">
        <v>1397</v>
      </c>
      <c r="F68" s="7" t="s">
        <v>25</v>
      </c>
      <c r="G68" s="7">
        <v>350</v>
      </c>
      <c r="H68" s="7" t="s">
        <v>176</v>
      </c>
      <c r="I68" s="7" t="s">
        <v>177</v>
      </c>
      <c r="J68" s="7" t="s">
        <v>1659</v>
      </c>
      <c r="K68" s="7" t="s">
        <v>178</v>
      </c>
      <c r="L68" s="7" t="s">
        <v>1864</v>
      </c>
      <c r="M68" s="1">
        <v>41913</v>
      </c>
      <c r="N68" s="4">
        <v>10</v>
      </c>
      <c r="O68" s="2" t="s">
        <v>66</v>
      </c>
      <c r="P68" s="4">
        <v>2014</v>
      </c>
      <c r="Q68" t="str">
        <f>IF(Table1[[#This Row],[UnitsSold]]&gt;3000,"Large",IF(Table1[[#This Row],[UnitsSold]]&gt;1500,"Midium","Small"))</f>
        <v>Small</v>
      </c>
    </row>
    <row r="69" spans="1:17" x14ac:dyDescent="0.3">
      <c r="A69" s="2" t="s">
        <v>4</v>
      </c>
      <c r="B69" s="2" t="s">
        <v>8</v>
      </c>
      <c r="C69" s="2" t="s">
        <v>23</v>
      </c>
      <c r="D69" s="2" t="s">
        <v>135</v>
      </c>
      <c r="E69" s="4">
        <v>2155</v>
      </c>
      <c r="F69" s="7" t="s">
        <v>25</v>
      </c>
      <c r="G69" s="7">
        <v>350</v>
      </c>
      <c r="H69" s="7" t="s">
        <v>179</v>
      </c>
      <c r="I69" s="7" t="s">
        <v>180</v>
      </c>
      <c r="J69" s="7" t="s">
        <v>1660</v>
      </c>
      <c r="K69" s="7" t="s">
        <v>181</v>
      </c>
      <c r="L69" s="7" t="s">
        <v>1865</v>
      </c>
      <c r="M69" s="1">
        <v>41974</v>
      </c>
      <c r="N69" s="4">
        <v>12</v>
      </c>
      <c r="O69" s="2" t="s">
        <v>41</v>
      </c>
      <c r="P69" s="4">
        <v>2014</v>
      </c>
      <c r="Q69" t="str">
        <f>IF(Table1[[#This Row],[UnitsSold]]&gt;3000,"Large",IF(Table1[[#This Row],[UnitsSold]]&gt;1500,"Midium","Small"))</f>
        <v>Midium</v>
      </c>
    </row>
    <row r="70" spans="1:17" x14ac:dyDescent="0.3">
      <c r="A70" s="2" t="s">
        <v>7</v>
      </c>
      <c r="B70" s="2" t="s">
        <v>9</v>
      </c>
      <c r="C70" s="2" t="s">
        <v>42</v>
      </c>
      <c r="D70" s="2" t="s">
        <v>135</v>
      </c>
      <c r="E70" s="4">
        <v>2214</v>
      </c>
      <c r="F70" s="7" t="s">
        <v>43</v>
      </c>
      <c r="G70" s="7">
        <v>15</v>
      </c>
      <c r="H70" s="7" t="s">
        <v>182</v>
      </c>
      <c r="I70" s="7" t="s">
        <v>183</v>
      </c>
      <c r="J70" s="7">
        <v>32877.9</v>
      </c>
      <c r="K70" s="7" t="s">
        <v>184</v>
      </c>
      <c r="L70" s="7">
        <v>10737.9</v>
      </c>
      <c r="M70" s="1">
        <v>41699</v>
      </c>
      <c r="N70" s="4">
        <v>3</v>
      </c>
      <c r="O70" s="2" t="s">
        <v>46</v>
      </c>
      <c r="P70" s="4">
        <v>2014</v>
      </c>
      <c r="Q70" t="str">
        <f>IF(Table1[[#This Row],[UnitsSold]]&gt;3000,"Large",IF(Table1[[#This Row],[UnitsSold]]&gt;1500,"Midium","Small"))</f>
        <v>Midium</v>
      </c>
    </row>
    <row r="71" spans="1:17" x14ac:dyDescent="0.3">
      <c r="A71" s="2" t="s">
        <v>57</v>
      </c>
      <c r="B71" s="2" t="s">
        <v>67</v>
      </c>
      <c r="C71" s="2" t="s">
        <v>42</v>
      </c>
      <c r="D71" s="2" t="s">
        <v>135</v>
      </c>
      <c r="E71" s="4">
        <v>2301</v>
      </c>
      <c r="F71" s="7" t="s">
        <v>43</v>
      </c>
      <c r="G71" s="7">
        <v>300</v>
      </c>
      <c r="H71" s="7" t="s">
        <v>185</v>
      </c>
      <c r="I71" s="7" t="s">
        <v>186</v>
      </c>
      <c r="J71" s="7" t="s">
        <v>1661</v>
      </c>
      <c r="K71" s="7" t="s">
        <v>187</v>
      </c>
      <c r="L71" s="7" t="s">
        <v>1866</v>
      </c>
      <c r="M71" s="1">
        <v>41730</v>
      </c>
      <c r="N71" s="4">
        <v>4</v>
      </c>
      <c r="O71" s="2" t="s">
        <v>117</v>
      </c>
      <c r="P71" s="4">
        <v>2014</v>
      </c>
      <c r="Q71" t="str">
        <f>IF(Table1[[#This Row],[UnitsSold]]&gt;3000,"Large",IF(Table1[[#This Row],[UnitsSold]]&gt;1500,"Midium","Small"))</f>
        <v>Midium</v>
      </c>
    </row>
    <row r="72" spans="1:17" x14ac:dyDescent="0.3">
      <c r="A72" s="2" t="s">
        <v>4</v>
      </c>
      <c r="B72" s="2" t="s">
        <v>8</v>
      </c>
      <c r="C72" s="2" t="s">
        <v>42</v>
      </c>
      <c r="D72" s="2" t="s">
        <v>135</v>
      </c>
      <c r="E72" s="4">
        <v>1375.5</v>
      </c>
      <c r="F72" s="7" t="s">
        <v>43</v>
      </c>
      <c r="G72" s="7">
        <v>20</v>
      </c>
      <c r="H72" s="7" t="s">
        <v>188</v>
      </c>
      <c r="I72" s="7" t="s">
        <v>189</v>
      </c>
      <c r="J72" s="7">
        <v>27234.9</v>
      </c>
      <c r="K72" s="7" t="s">
        <v>190</v>
      </c>
      <c r="L72" s="7">
        <v>13479.9</v>
      </c>
      <c r="M72" s="1">
        <v>41821</v>
      </c>
      <c r="N72" s="4">
        <v>7</v>
      </c>
      <c r="O72" s="2" t="s">
        <v>56</v>
      </c>
      <c r="P72" s="4">
        <v>2014</v>
      </c>
      <c r="Q72" t="str">
        <f>IF(Table1[[#This Row],[UnitsSold]]&gt;3000,"Large",IF(Table1[[#This Row],[UnitsSold]]&gt;1500,"Midium","Small"))</f>
        <v>Small</v>
      </c>
    </row>
    <row r="73" spans="1:17" x14ac:dyDescent="0.3">
      <c r="A73" s="2" t="s">
        <v>4</v>
      </c>
      <c r="B73" s="2" t="s">
        <v>5</v>
      </c>
      <c r="C73" s="2" t="s">
        <v>42</v>
      </c>
      <c r="D73" s="2" t="s">
        <v>135</v>
      </c>
      <c r="E73" s="4">
        <v>1830</v>
      </c>
      <c r="F73" s="7" t="s">
        <v>43</v>
      </c>
      <c r="G73" s="7">
        <v>7</v>
      </c>
      <c r="H73" s="7" t="s">
        <v>191</v>
      </c>
      <c r="I73" s="7" t="s">
        <v>192</v>
      </c>
      <c r="J73" s="7">
        <v>12681.9</v>
      </c>
      <c r="K73" s="7" t="s">
        <v>193</v>
      </c>
      <c r="L73" s="7">
        <v>3531.9</v>
      </c>
      <c r="M73" s="1">
        <v>41852</v>
      </c>
      <c r="N73" s="4">
        <v>8</v>
      </c>
      <c r="O73" s="2" t="s">
        <v>60</v>
      </c>
      <c r="P73" s="4">
        <v>2014</v>
      </c>
      <c r="Q73" t="str">
        <f>IF(Table1[[#This Row],[UnitsSold]]&gt;3000,"Large",IF(Table1[[#This Row],[UnitsSold]]&gt;1500,"Midium","Small"))</f>
        <v>Midium</v>
      </c>
    </row>
    <row r="74" spans="1:17" x14ac:dyDescent="0.3">
      <c r="A74" s="2" t="s">
        <v>57</v>
      </c>
      <c r="B74" s="2" t="s">
        <v>67</v>
      </c>
      <c r="C74" s="2" t="s">
        <v>42</v>
      </c>
      <c r="D74" s="2" t="s">
        <v>135</v>
      </c>
      <c r="E74" s="4">
        <v>2498</v>
      </c>
      <c r="F74" s="7" t="s">
        <v>43</v>
      </c>
      <c r="G74" s="7">
        <v>300</v>
      </c>
      <c r="H74" s="7" t="s">
        <v>194</v>
      </c>
      <c r="I74" s="7" t="s">
        <v>195</v>
      </c>
      <c r="J74" s="7" t="s">
        <v>1662</v>
      </c>
      <c r="K74" s="7" t="s">
        <v>196</v>
      </c>
      <c r="L74" s="7" t="s">
        <v>1867</v>
      </c>
      <c r="M74" s="1">
        <v>41518</v>
      </c>
      <c r="N74" s="4">
        <v>9</v>
      </c>
      <c r="O74" s="2" t="s">
        <v>63</v>
      </c>
      <c r="P74" s="4">
        <v>2013</v>
      </c>
      <c r="Q74" t="str">
        <f>IF(Table1[[#This Row],[UnitsSold]]&gt;3000,"Large",IF(Table1[[#This Row],[UnitsSold]]&gt;1500,"Midium","Small"))</f>
        <v>Midium</v>
      </c>
    </row>
    <row r="75" spans="1:17" x14ac:dyDescent="0.3">
      <c r="A75" s="2" t="s">
        <v>10</v>
      </c>
      <c r="B75" s="2" t="s">
        <v>67</v>
      </c>
      <c r="C75" s="2" t="s">
        <v>42</v>
      </c>
      <c r="D75" s="2" t="s">
        <v>135</v>
      </c>
      <c r="E75" s="4">
        <v>663</v>
      </c>
      <c r="F75" s="7" t="s">
        <v>43</v>
      </c>
      <c r="G75" s="7">
        <v>125</v>
      </c>
      <c r="H75" s="7" t="s">
        <v>197</v>
      </c>
      <c r="I75" s="7" t="s">
        <v>198</v>
      </c>
      <c r="J75" s="7">
        <v>82046.25</v>
      </c>
      <c r="K75" s="7" t="s">
        <v>199</v>
      </c>
      <c r="L75" s="7">
        <v>2486.25</v>
      </c>
      <c r="M75" s="1">
        <v>41548</v>
      </c>
      <c r="N75" s="4">
        <v>10</v>
      </c>
      <c r="O75" s="2" t="s">
        <v>66</v>
      </c>
      <c r="P75" s="4">
        <v>2013</v>
      </c>
      <c r="Q75" t="str">
        <f>IF(Table1[[#This Row],[UnitsSold]]&gt;3000,"Large",IF(Table1[[#This Row],[UnitsSold]]&gt;1500,"Midium","Small"))</f>
        <v>Small</v>
      </c>
    </row>
    <row r="76" spans="1:17" x14ac:dyDescent="0.3">
      <c r="A76" s="2" t="s">
        <v>7</v>
      </c>
      <c r="B76" s="2" t="s">
        <v>67</v>
      </c>
      <c r="C76" s="2" t="s">
        <v>70</v>
      </c>
      <c r="D76" s="2" t="s">
        <v>135</v>
      </c>
      <c r="E76" s="4">
        <v>1514</v>
      </c>
      <c r="F76" s="7" t="s">
        <v>71</v>
      </c>
      <c r="G76" s="7">
        <v>15</v>
      </c>
      <c r="H76" s="7" t="s">
        <v>200</v>
      </c>
      <c r="I76" s="7" t="s">
        <v>201</v>
      </c>
      <c r="J76" s="7">
        <v>22482.9</v>
      </c>
      <c r="K76" s="7" t="s">
        <v>202</v>
      </c>
      <c r="L76" s="7">
        <v>7342.9</v>
      </c>
      <c r="M76" s="1">
        <v>41671</v>
      </c>
      <c r="N76" s="4">
        <v>2</v>
      </c>
      <c r="O76" s="2" t="s">
        <v>74</v>
      </c>
      <c r="P76" s="4">
        <v>2014</v>
      </c>
      <c r="Q76" t="str">
        <f>IF(Table1[[#This Row],[UnitsSold]]&gt;3000,"Large",IF(Table1[[#This Row],[UnitsSold]]&gt;1500,"Midium","Small"))</f>
        <v>Midium</v>
      </c>
    </row>
    <row r="77" spans="1:17" x14ac:dyDescent="0.3">
      <c r="A77" s="2" t="s">
        <v>4</v>
      </c>
      <c r="B77" s="2" t="s">
        <v>67</v>
      </c>
      <c r="C77" s="2" t="s">
        <v>70</v>
      </c>
      <c r="D77" s="2" t="s">
        <v>135</v>
      </c>
      <c r="E77" s="4">
        <v>4492.5</v>
      </c>
      <c r="F77" s="7" t="s">
        <v>71</v>
      </c>
      <c r="G77" s="7">
        <v>7</v>
      </c>
      <c r="H77" s="7" t="s">
        <v>203</v>
      </c>
      <c r="I77" s="7" t="s">
        <v>204</v>
      </c>
      <c r="J77" s="7">
        <v>31133.03</v>
      </c>
      <c r="K77" s="7" t="s">
        <v>205</v>
      </c>
      <c r="L77" s="7">
        <v>8670.5300000000007</v>
      </c>
      <c r="M77" s="1">
        <v>41730</v>
      </c>
      <c r="N77" s="4">
        <v>4</v>
      </c>
      <c r="O77" s="2" t="s">
        <v>117</v>
      </c>
      <c r="P77" s="4">
        <v>2014</v>
      </c>
      <c r="Q77" t="str">
        <f>IF(Table1[[#This Row],[UnitsSold]]&gt;3000,"Large",IF(Table1[[#This Row],[UnitsSold]]&gt;1500,"Midium","Small"))</f>
        <v>Large</v>
      </c>
    </row>
    <row r="78" spans="1:17" x14ac:dyDescent="0.3">
      <c r="A78" s="2" t="s">
        <v>10</v>
      </c>
      <c r="B78" s="2" t="s">
        <v>67</v>
      </c>
      <c r="C78" s="2" t="s">
        <v>70</v>
      </c>
      <c r="D78" s="2" t="s">
        <v>135</v>
      </c>
      <c r="E78" s="4">
        <v>727</v>
      </c>
      <c r="F78" s="7" t="s">
        <v>71</v>
      </c>
      <c r="G78" s="7">
        <v>125</v>
      </c>
      <c r="H78" s="7" t="s">
        <v>206</v>
      </c>
      <c r="I78" s="7" t="s">
        <v>207</v>
      </c>
      <c r="J78" s="7">
        <v>89966.25</v>
      </c>
      <c r="K78" s="7" t="s">
        <v>208</v>
      </c>
      <c r="L78" s="7">
        <v>2726.25</v>
      </c>
      <c r="M78" s="1">
        <v>41791</v>
      </c>
      <c r="N78" s="4">
        <v>6</v>
      </c>
      <c r="O78" s="2" t="s">
        <v>34</v>
      </c>
      <c r="P78" s="4">
        <v>2014</v>
      </c>
      <c r="Q78" t="str">
        <f>IF(Table1[[#This Row],[UnitsSold]]&gt;3000,"Large",IF(Table1[[#This Row],[UnitsSold]]&gt;1500,"Midium","Small"))</f>
        <v>Small</v>
      </c>
    </row>
    <row r="79" spans="1:17" x14ac:dyDescent="0.3">
      <c r="A79" s="2" t="s">
        <v>10</v>
      </c>
      <c r="B79" s="2" t="s">
        <v>8</v>
      </c>
      <c r="C79" s="2" t="s">
        <v>70</v>
      </c>
      <c r="D79" s="2" t="s">
        <v>135</v>
      </c>
      <c r="E79" s="4">
        <v>787</v>
      </c>
      <c r="F79" s="7" t="s">
        <v>71</v>
      </c>
      <c r="G79" s="7">
        <v>125</v>
      </c>
      <c r="H79" s="7" t="s">
        <v>209</v>
      </c>
      <c r="I79" s="7" t="s">
        <v>210</v>
      </c>
      <c r="J79" s="7">
        <v>97391.25</v>
      </c>
      <c r="K79" s="7" t="s">
        <v>211</v>
      </c>
      <c r="L79" s="7">
        <v>2951.25</v>
      </c>
      <c r="M79" s="1">
        <v>41791</v>
      </c>
      <c r="N79" s="4">
        <v>6</v>
      </c>
      <c r="O79" s="2" t="s">
        <v>34</v>
      </c>
      <c r="P79" s="4">
        <v>2014</v>
      </c>
      <c r="Q79" t="str">
        <f>IF(Table1[[#This Row],[UnitsSold]]&gt;3000,"Large",IF(Table1[[#This Row],[UnitsSold]]&gt;1500,"Midium","Small"))</f>
        <v>Small</v>
      </c>
    </row>
    <row r="80" spans="1:17" x14ac:dyDescent="0.3">
      <c r="A80" s="2" t="s">
        <v>10</v>
      </c>
      <c r="B80" s="2" t="s">
        <v>9</v>
      </c>
      <c r="C80" s="2" t="s">
        <v>70</v>
      </c>
      <c r="D80" s="2" t="s">
        <v>135</v>
      </c>
      <c r="E80" s="4">
        <v>1823</v>
      </c>
      <c r="F80" s="7" t="s">
        <v>71</v>
      </c>
      <c r="G80" s="7">
        <v>125</v>
      </c>
      <c r="H80" s="7" t="s">
        <v>212</v>
      </c>
      <c r="I80" s="7" t="s">
        <v>213</v>
      </c>
      <c r="J80" s="7" t="s">
        <v>1663</v>
      </c>
      <c r="K80" s="7" t="s">
        <v>214</v>
      </c>
      <c r="L80" s="7">
        <v>6836.25</v>
      </c>
      <c r="M80" s="1">
        <v>41821</v>
      </c>
      <c r="N80" s="4">
        <v>7</v>
      </c>
      <c r="O80" s="2" t="s">
        <v>56</v>
      </c>
      <c r="P80" s="4">
        <v>2014</v>
      </c>
      <c r="Q80" t="str">
        <f>IF(Table1[[#This Row],[UnitsSold]]&gt;3000,"Large",IF(Table1[[#This Row],[UnitsSold]]&gt;1500,"Midium","Small"))</f>
        <v>Midium</v>
      </c>
    </row>
    <row r="81" spans="1:17" x14ac:dyDescent="0.3">
      <c r="A81" s="2" t="s">
        <v>7</v>
      </c>
      <c r="B81" s="2" t="s">
        <v>6</v>
      </c>
      <c r="C81" s="2" t="s">
        <v>70</v>
      </c>
      <c r="D81" s="2" t="s">
        <v>135</v>
      </c>
      <c r="E81" s="4">
        <v>747</v>
      </c>
      <c r="F81" s="7" t="s">
        <v>71</v>
      </c>
      <c r="G81" s="7">
        <v>15</v>
      </c>
      <c r="H81" s="7" t="s">
        <v>215</v>
      </c>
      <c r="I81" s="7" t="s">
        <v>216</v>
      </c>
      <c r="J81" s="7">
        <v>11092.95</v>
      </c>
      <c r="K81" s="7" t="s">
        <v>217</v>
      </c>
      <c r="L81" s="7">
        <v>3622.95</v>
      </c>
      <c r="M81" s="1">
        <v>41883</v>
      </c>
      <c r="N81" s="4">
        <v>9</v>
      </c>
      <c r="O81" s="2" t="s">
        <v>63</v>
      </c>
      <c r="P81" s="4">
        <v>2014</v>
      </c>
      <c r="Q81" t="str">
        <f>IF(Table1[[#This Row],[UnitsSold]]&gt;3000,"Large",IF(Table1[[#This Row],[UnitsSold]]&gt;1500,"Midium","Small"))</f>
        <v>Small</v>
      </c>
    </row>
    <row r="82" spans="1:17" x14ac:dyDescent="0.3">
      <c r="A82" s="2" t="s">
        <v>47</v>
      </c>
      <c r="B82" s="2" t="s">
        <v>6</v>
      </c>
      <c r="C82" s="2" t="s">
        <v>70</v>
      </c>
      <c r="D82" s="2" t="s">
        <v>135</v>
      </c>
      <c r="E82" s="4">
        <v>766</v>
      </c>
      <c r="F82" s="7" t="s">
        <v>71</v>
      </c>
      <c r="G82" s="7">
        <v>12</v>
      </c>
      <c r="H82" s="7" t="s">
        <v>170</v>
      </c>
      <c r="I82" s="7" t="s">
        <v>171</v>
      </c>
      <c r="J82" s="7">
        <v>9100.08</v>
      </c>
      <c r="K82" s="7" t="s">
        <v>172</v>
      </c>
      <c r="L82" s="7">
        <v>6802.08</v>
      </c>
      <c r="M82" s="1">
        <v>41548</v>
      </c>
      <c r="N82" s="4">
        <v>10</v>
      </c>
      <c r="O82" s="2" t="s">
        <v>66</v>
      </c>
      <c r="P82" s="4">
        <v>2013</v>
      </c>
      <c r="Q82" t="str">
        <f>IF(Table1[[#This Row],[UnitsSold]]&gt;3000,"Large",IF(Table1[[#This Row],[UnitsSold]]&gt;1500,"Midium","Small"))</f>
        <v>Small</v>
      </c>
    </row>
    <row r="83" spans="1:17" x14ac:dyDescent="0.3">
      <c r="A83" s="2" t="s">
        <v>57</v>
      </c>
      <c r="B83" s="2" t="s">
        <v>67</v>
      </c>
      <c r="C83" s="2" t="s">
        <v>70</v>
      </c>
      <c r="D83" s="2" t="s">
        <v>135</v>
      </c>
      <c r="E83" s="4">
        <v>2905</v>
      </c>
      <c r="F83" s="7" t="s">
        <v>71</v>
      </c>
      <c r="G83" s="7">
        <v>300</v>
      </c>
      <c r="H83" s="7" t="s">
        <v>218</v>
      </c>
      <c r="I83" s="7" t="s">
        <v>219</v>
      </c>
      <c r="J83" s="7" t="s">
        <v>1664</v>
      </c>
      <c r="K83" s="7" t="s">
        <v>220</v>
      </c>
      <c r="L83" s="7" t="s">
        <v>1868</v>
      </c>
      <c r="M83" s="1">
        <v>41944</v>
      </c>
      <c r="N83" s="4">
        <v>11</v>
      </c>
      <c r="O83" s="2" t="s">
        <v>94</v>
      </c>
      <c r="P83" s="4">
        <v>2014</v>
      </c>
      <c r="Q83" t="str">
        <f>IF(Table1[[#This Row],[UnitsSold]]&gt;3000,"Large",IF(Table1[[#This Row],[UnitsSold]]&gt;1500,"Midium","Small"))</f>
        <v>Midium</v>
      </c>
    </row>
    <row r="84" spans="1:17" x14ac:dyDescent="0.3">
      <c r="A84" s="2" t="s">
        <v>4</v>
      </c>
      <c r="B84" s="2" t="s">
        <v>8</v>
      </c>
      <c r="C84" s="2" t="s">
        <v>70</v>
      </c>
      <c r="D84" s="2" t="s">
        <v>135</v>
      </c>
      <c r="E84" s="4">
        <v>2155</v>
      </c>
      <c r="F84" s="7" t="s">
        <v>71</v>
      </c>
      <c r="G84" s="7">
        <v>350</v>
      </c>
      <c r="H84" s="7" t="s">
        <v>179</v>
      </c>
      <c r="I84" s="7" t="s">
        <v>180</v>
      </c>
      <c r="J84" s="7" t="s">
        <v>1660</v>
      </c>
      <c r="K84" s="7" t="s">
        <v>181</v>
      </c>
      <c r="L84" s="7" t="s">
        <v>1865</v>
      </c>
      <c r="M84" s="1">
        <v>41974</v>
      </c>
      <c r="N84" s="4">
        <v>12</v>
      </c>
      <c r="O84" s="2" t="s">
        <v>41</v>
      </c>
      <c r="P84" s="4">
        <v>2014</v>
      </c>
      <c r="Q84" t="str">
        <f>IF(Table1[[#This Row],[UnitsSold]]&gt;3000,"Large",IF(Table1[[#This Row],[UnitsSold]]&gt;1500,"Midium","Small"))</f>
        <v>Midium</v>
      </c>
    </row>
    <row r="85" spans="1:17" x14ac:dyDescent="0.3">
      <c r="A85" s="2" t="s">
        <v>4</v>
      </c>
      <c r="B85" s="2" t="s">
        <v>8</v>
      </c>
      <c r="C85" s="2" t="s">
        <v>101</v>
      </c>
      <c r="D85" s="2" t="s">
        <v>135</v>
      </c>
      <c r="E85" s="4">
        <v>3864</v>
      </c>
      <c r="F85" s="7" t="s">
        <v>102</v>
      </c>
      <c r="G85" s="7">
        <v>20</v>
      </c>
      <c r="H85" s="7" t="s">
        <v>221</v>
      </c>
      <c r="I85" s="7" t="s">
        <v>222</v>
      </c>
      <c r="J85" s="7">
        <v>76507.199999999997</v>
      </c>
      <c r="K85" s="7" t="s">
        <v>223</v>
      </c>
      <c r="L85" s="7">
        <v>37867.199999999997</v>
      </c>
      <c r="M85" s="1">
        <v>41730</v>
      </c>
      <c r="N85" s="4">
        <v>4</v>
      </c>
      <c r="O85" s="2" t="s">
        <v>117</v>
      </c>
      <c r="P85" s="4">
        <v>2014</v>
      </c>
      <c r="Q85" t="str">
        <f>IF(Table1[[#This Row],[UnitsSold]]&gt;3000,"Large",IF(Table1[[#This Row],[UnitsSold]]&gt;1500,"Midium","Small"))</f>
        <v>Large</v>
      </c>
    </row>
    <row r="86" spans="1:17" x14ac:dyDescent="0.3">
      <c r="A86" s="2" t="s">
        <v>4</v>
      </c>
      <c r="B86" s="2" t="s">
        <v>9</v>
      </c>
      <c r="C86" s="2" t="s">
        <v>101</v>
      </c>
      <c r="D86" s="2" t="s">
        <v>135</v>
      </c>
      <c r="E86" s="4">
        <v>362</v>
      </c>
      <c r="F86" s="7" t="s">
        <v>102</v>
      </c>
      <c r="G86" s="7">
        <v>7</v>
      </c>
      <c r="H86" s="7" t="s">
        <v>224</v>
      </c>
      <c r="I86" s="7" t="s">
        <v>225</v>
      </c>
      <c r="J86" s="7">
        <v>2508.66</v>
      </c>
      <c r="K86" s="7" t="s">
        <v>226</v>
      </c>
      <c r="L86" s="7">
        <v>698.66</v>
      </c>
      <c r="M86" s="1">
        <v>41760</v>
      </c>
      <c r="N86" s="4">
        <v>5</v>
      </c>
      <c r="O86" s="2" t="s">
        <v>145</v>
      </c>
      <c r="P86" s="4">
        <v>2014</v>
      </c>
      <c r="Q86" t="str">
        <f>IF(Table1[[#This Row],[UnitsSold]]&gt;3000,"Large",IF(Table1[[#This Row],[UnitsSold]]&gt;1500,"Midium","Small"))</f>
        <v>Small</v>
      </c>
    </row>
    <row r="87" spans="1:17" x14ac:dyDescent="0.3">
      <c r="A87" s="2" t="s">
        <v>10</v>
      </c>
      <c r="B87" s="2" t="s">
        <v>5</v>
      </c>
      <c r="C87" s="2" t="s">
        <v>101</v>
      </c>
      <c r="D87" s="2" t="s">
        <v>135</v>
      </c>
      <c r="E87" s="4">
        <v>923</v>
      </c>
      <c r="F87" s="7" t="s">
        <v>102</v>
      </c>
      <c r="G87" s="7">
        <v>125</v>
      </c>
      <c r="H87" s="7" t="s">
        <v>227</v>
      </c>
      <c r="I87" s="7" t="s">
        <v>228</v>
      </c>
      <c r="J87" s="7" t="s">
        <v>1665</v>
      </c>
      <c r="K87" s="7" t="s">
        <v>229</v>
      </c>
      <c r="L87" s="7">
        <v>3461.25</v>
      </c>
      <c r="M87" s="1">
        <v>41852</v>
      </c>
      <c r="N87" s="4">
        <v>8</v>
      </c>
      <c r="O87" s="2" t="s">
        <v>60</v>
      </c>
      <c r="P87" s="4">
        <v>2014</v>
      </c>
      <c r="Q87" t="str">
        <f>IF(Table1[[#This Row],[UnitsSold]]&gt;3000,"Large",IF(Table1[[#This Row],[UnitsSold]]&gt;1500,"Midium","Small"))</f>
        <v>Small</v>
      </c>
    </row>
    <row r="88" spans="1:17" x14ac:dyDescent="0.3">
      <c r="A88" s="2" t="s">
        <v>10</v>
      </c>
      <c r="B88" s="2" t="s">
        <v>67</v>
      </c>
      <c r="C88" s="2" t="s">
        <v>101</v>
      </c>
      <c r="D88" s="2" t="s">
        <v>135</v>
      </c>
      <c r="E88" s="4">
        <v>663</v>
      </c>
      <c r="F88" s="7" t="s">
        <v>102</v>
      </c>
      <c r="G88" s="7">
        <v>125</v>
      </c>
      <c r="H88" s="7" t="s">
        <v>197</v>
      </c>
      <c r="I88" s="7" t="s">
        <v>198</v>
      </c>
      <c r="J88" s="7">
        <v>82046.25</v>
      </c>
      <c r="K88" s="7" t="s">
        <v>199</v>
      </c>
      <c r="L88" s="7">
        <v>2486.25</v>
      </c>
      <c r="M88" s="1">
        <v>41548</v>
      </c>
      <c r="N88" s="4">
        <v>10</v>
      </c>
      <c r="O88" s="2" t="s">
        <v>66</v>
      </c>
      <c r="P88" s="4">
        <v>2013</v>
      </c>
      <c r="Q88" t="str">
        <f>IF(Table1[[#This Row],[UnitsSold]]&gt;3000,"Large",IF(Table1[[#This Row],[UnitsSold]]&gt;1500,"Midium","Small"))</f>
        <v>Small</v>
      </c>
    </row>
    <row r="89" spans="1:17" x14ac:dyDescent="0.3">
      <c r="A89" s="2" t="s">
        <v>4</v>
      </c>
      <c r="B89" s="2" t="s">
        <v>5</v>
      </c>
      <c r="C89" s="2" t="s">
        <v>101</v>
      </c>
      <c r="D89" s="2" t="s">
        <v>135</v>
      </c>
      <c r="E89" s="4">
        <v>2092</v>
      </c>
      <c r="F89" s="7" t="s">
        <v>102</v>
      </c>
      <c r="G89" s="7">
        <v>7</v>
      </c>
      <c r="H89" s="7" t="s">
        <v>230</v>
      </c>
      <c r="I89" s="7" t="s">
        <v>231</v>
      </c>
      <c r="J89" s="7">
        <v>14497.56</v>
      </c>
      <c r="K89" s="7" t="s">
        <v>232</v>
      </c>
      <c r="L89" s="7">
        <v>4037.56</v>
      </c>
      <c r="M89" s="1">
        <v>41579</v>
      </c>
      <c r="N89" s="4">
        <v>11</v>
      </c>
      <c r="O89" s="2" t="s">
        <v>94</v>
      </c>
      <c r="P89" s="4">
        <v>2013</v>
      </c>
      <c r="Q89" t="str">
        <f>IF(Table1[[#This Row],[UnitsSold]]&gt;3000,"Large",IF(Table1[[#This Row],[UnitsSold]]&gt;1500,"Midium","Small"))</f>
        <v>Midium</v>
      </c>
    </row>
    <row r="90" spans="1:17" x14ac:dyDescent="0.3">
      <c r="A90" s="2" t="s">
        <v>4</v>
      </c>
      <c r="B90" s="2" t="s">
        <v>6</v>
      </c>
      <c r="C90" s="2" t="s">
        <v>111</v>
      </c>
      <c r="D90" s="2" t="s">
        <v>135</v>
      </c>
      <c r="E90" s="4">
        <v>263</v>
      </c>
      <c r="F90" s="7" t="s">
        <v>112</v>
      </c>
      <c r="G90" s="7">
        <v>7</v>
      </c>
      <c r="H90" s="7" t="s">
        <v>233</v>
      </c>
      <c r="I90" s="7" t="s">
        <v>234</v>
      </c>
      <c r="J90" s="7">
        <v>1822.59</v>
      </c>
      <c r="K90" s="7" t="s">
        <v>235</v>
      </c>
      <c r="L90" s="7">
        <v>507.59</v>
      </c>
      <c r="M90" s="1">
        <v>41699</v>
      </c>
      <c r="N90" s="4">
        <v>3</v>
      </c>
      <c r="O90" s="2" t="s">
        <v>46</v>
      </c>
      <c r="P90" s="4">
        <v>2014</v>
      </c>
      <c r="Q90" t="str">
        <f>IF(Table1[[#This Row],[UnitsSold]]&gt;3000,"Large",IF(Table1[[#This Row],[UnitsSold]]&gt;1500,"Midium","Small"))</f>
        <v>Small</v>
      </c>
    </row>
    <row r="91" spans="1:17" x14ac:dyDescent="0.3">
      <c r="A91" s="2" t="s">
        <v>4</v>
      </c>
      <c r="B91" s="2" t="s">
        <v>5</v>
      </c>
      <c r="C91" s="2" t="s">
        <v>111</v>
      </c>
      <c r="D91" s="2" t="s">
        <v>135</v>
      </c>
      <c r="E91" s="4">
        <v>943.5</v>
      </c>
      <c r="F91" s="7" t="s">
        <v>112</v>
      </c>
      <c r="G91" s="7">
        <v>350</v>
      </c>
      <c r="H91" s="7" t="s">
        <v>236</v>
      </c>
      <c r="I91" s="7" t="s">
        <v>237</v>
      </c>
      <c r="J91" s="7" t="s">
        <v>1666</v>
      </c>
      <c r="K91" s="7" t="s">
        <v>238</v>
      </c>
      <c r="L91" s="7">
        <v>81612.75</v>
      </c>
      <c r="M91" s="1">
        <v>41730</v>
      </c>
      <c r="N91" s="4">
        <v>4</v>
      </c>
      <c r="O91" s="2" t="s">
        <v>117</v>
      </c>
      <c r="P91" s="4">
        <v>2014</v>
      </c>
      <c r="Q91" t="str">
        <f>IF(Table1[[#This Row],[UnitsSold]]&gt;3000,"Large",IF(Table1[[#This Row],[UnitsSold]]&gt;1500,"Midium","Small"))</f>
        <v>Small</v>
      </c>
    </row>
    <row r="92" spans="1:17" x14ac:dyDescent="0.3">
      <c r="A92" s="2" t="s">
        <v>10</v>
      </c>
      <c r="B92" s="2" t="s">
        <v>67</v>
      </c>
      <c r="C92" s="2" t="s">
        <v>111</v>
      </c>
      <c r="D92" s="2" t="s">
        <v>135</v>
      </c>
      <c r="E92" s="4">
        <v>727</v>
      </c>
      <c r="F92" s="7" t="s">
        <v>112</v>
      </c>
      <c r="G92" s="7">
        <v>125</v>
      </c>
      <c r="H92" s="7" t="s">
        <v>206</v>
      </c>
      <c r="I92" s="7" t="s">
        <v>207</v>
      </c>
      <c r="J92" s="7">
        <v>89966.25</v>
      </c>
      <c r="K92" s="7" t="s">
        <v>208</v>
      </c>
      <c r="L92" s="7">
        <v>2726.25</v>
      </c>
      <c r="M92" s="1">
        <v>41791</v>
      </c>
      <c r="N92" s="4">
        <v>6</v>
      </c>
      <c r="O92" s="2" t="s">
        <v>34</v>
      </c>
      <c r="P92" s="4">
        <v>2014</v>
      </c>
      <c r="Q92" t="str">
        <f>IF(Table1[[#This Row],[UnitsSold]]&gt;3000,"Large",IF(Table1[[#This Row],[UnitsSold]]&gt;1500,"Midium","Small"))</f>
        <v>Small</v>
      </c>
    </row>
    <row r="93" spans="1:17" x14ac:dyDescent="0.3">
      <c r="A93" s="2" t="s">
        <v>10</v>
      </c>
      <c r="B93" s="2" t="s">
        <v>8</v>
      </c>
      <c r="C93" s="2" t="s">
        <v>111</v>
      </c>
      <c r="D93" s="2" t="s">
        <v>135</v>
      </c>
      <c r="E93" s="4">
        <v>787</v>
      </c>
      <c r="F93" s="7" t="s">
        <v>112</v>
      </c>
      <c r="G93" s="7">
        <v>125</v>
      </c>
      <c r="H93" s="7" t="s">
        <v>209</v>
      </c>
      <c r="I93" s="7" t="s">
        <v>210</v>
      </c>
      <c r="J93" s="7">
        <v>97391.25</v>
      </c>
      <c r="K93" s="7" t="s">
        <v>211</v>
      </c>
      <c r="L93" s="7">
        <v>2951.25</v>
      </c>
      <c r="M93" s="1">
        <v>41791</v>
      </c>
      <c r="N93" s="4">
        <v>6</v>
      </c>
      <c r="O93" s="2" t="s">
        <v>34</v>
      </c>
      <c r="P93" s="4">
        <v>2014</v>
      </c>
      <c r="Q93" t="str">
        <f>IF(Table1[[#This Row],[UnitsSold]]&gt;3000,"Large",IF(Table1[[#This Row],[UnitsSold]]&gt;1500,"Midium","Small"))</f>
        <v>Small</v>
      </c>
    </row>
    <row r="94" spans="1:17" x14ac:dyDescent="0.3">
      <c r="A94" s="2" t="s">
        <v>57</v>
      </c>
      <c r="B94" s="2" t="s">
        <v>6</v>
      </c>
      <c r="C94" s="2" t="s">
        <v>111</v>
      </c>
      <c r="D94" s="2" t="s">
        <v>135</v>
      </c>
      <c r="E94" s="4">
        <v>986</v>
      </c>
      <c r="F94" s="7" t="s">
        <v>112</v>
      </c>
      <c r="G94" s="7">
        <v>300</v>
      </c>
      <c r="H94" s="7" t="s">
        <v>239</v>
      </c>
      <c r="I94" s="7" t="s">
        <v>240</v>
      </c>
      <c r="J94" s="7" t="s">
        <v>1667</v>
      </c>
      <c r="K94" s="7" t="s">
        <v>241</v>
      </c>
      <c r="L94" s="7">
        <v>46342</v>
      </c>
      <c r="M94" s="1">
        <v>41883</v>
      </c>
      <c r="N94" s="4">
        <v>9</v>
      </c>
      <c r="O94" s="2" t="s">
        <v>63</v>
      </c>
      <c r="P94" s="4">
        <v>2014</v>
      </c>
      <c r="Q94" t="str">
        <f>IF(Table1[[#This Row],[UnitsSold]]&gt;3000,"Large",IF(Table1[[#This Row],[UnitsSold]]&gt;1500,"Midium","Small"))</f>
        <v>Small</v>
      </c>
    </row>
    <row r="95" spans="1:17" x14ac:dyDescent="0.3">
      <c r="A95" s="2" t="s">
        <v>57</v>
      </c>
      <c r="B95" s="2" t="s">
        <v>9</v>
      </c>
      <c r="C95" s="2" t="s">
        <v>111</v>
      </c>
      <c r="D95" s="2" t="s">
        <v>135</v>
      </c>
      <c r="E95" s="4">
        <v>494</v>
      </c>
      <c r="F95" s="7" t="s">
        <v>112</v>
      </c>
      <c r="G95" s="7">
        <v>300</v>
      </c>
      <c r="H95" s="7" t="s">
        <v>173</v>
      </c>
      <c r="I95" s="7" t="s">
        <v>174</v>
      </c>
      <c r="J95" s="7" t="s">
        <v>1658</v>
      </c>
      <c r="K95" s="7" t="s">
        <v>175</v>
      </c>
      <c r="L95" s="7">
        <v>23218</v>
      </c>
      <c r="M95" s="1">
        <v>41548</v>
      </c>
      <c r="N95" s="4">
        <v>10</v>
      </c>
      <c r="O95" s="2" t="s">
        <v>66</v>
      </c>
      <c r="P95" s="4">
        <v>2013</v>
      </c>
      <c r="Q95" t="str">
        <f>IF(Table1[[#This Row],[UnitsSold]]&gt;3000,"Large",IF(Table1[[#This Row],[UnitsSold]]&gt;1500,"Midium","Small"))</f>
        <v>Small</v>
      </c>
    </row>
    <row r="96" spans="1:17" x14ac:dyDescent="0.3">
      <c r="A96" s="2" t="s">
        <v>4</v>
      </c>
      <c r="B96" s="2" t="s">
        <v>9</v>
      </c>
      <c r="C96" s="2" t="s">
        <v>111</v>
      </c>
      <c r="D96" s="2" t="s">
        <v>135</v>
      </c>
      <c r="E96" s="4">
        <v>1397</v>
      </c>
      <c r="F96" s="7" t="s">
        <v>112</v>
      </c>
      <c r="G96" s="7">
        <v>350</v>
      </c>
      <c r="H96" s="7" t="s">
        <v>176</v>
      </c>
      <c r="I96" s="7" t="s">
        <v>177</v>
      </c>
      <c r="J96" s="7" t="s">
        <v>1659</v>
      </c>
      <c r="K96" s="7" t="s">
        <v>178</v>
      </c>
      <c r="L96" s="7" t="s">
        <v>1864</v>
      </c>
      <c r="M96" s="1">
        <v>41913</v>
      </c>
      <c r="N96" s="4">
        <v>10</v>
      </c>
      <c r="O96" s="2" t="s">
        <v>66</v>
      </c>
      <c r="P96" s="4">
        <v>2014</v>
      </c>
      <c r="Q96" t="str">
        <f>IF(Table1[[#This Row],[UnitsSold]]&gt;3000,"Large",IF(Table1[[#This Row],[UnitsSold]]&gt;1500,"Midium","Small"))</f>
        <v>Small</v>
      </c>
    </row>
    <row r="97" spans="1:17" x14ac:dyDescent="0.3">
      <c r="A97" s="2" t="s">
        <v>10</v>
      </c>
      <c r="B97" s="2" t="s">
        <v>8</v>
      </c>
      <c r="C97" s="2" t="s">
        <v>111</v>
      </c>
      <c r="D97" s="2" t="s">
        <v>135</v>
      </c>
      <c r="E97" s="4">
        <v>1744</v>
      </c>
      <c r="F97" s="7" t="s">
        <v>112</v>
      </c>
      <c r="G97" s="7">
        <v>125</v>
      </c>
      <c r="H97" s="7" t="s">
        <v>242</v>
      </c>
      <c r="I97" s="7" t="s">
        <v>243</v>
      </c>
      <c r="J97" s="7" t="s">
        <v>1668</v>
      </c>
      <c r="K97" s="7" t="s">
        <v>244</v>
      </c>
      <c r="L97" s="7">
        <v>6540</v>
      </c>
      <c r="M97" s="1">
        <v>41944</v>
      </c>
      <c r="N97" s="4">
        <v>11</v>
      </c>
      <c r="O97" s="2" t="s">
        <v>94</v>
      </c>
      <c r="P97" s="4">
        <v>2014</v>
      </c>
      <c r="Q97" t="str">
        <f>IF(Table1[[#This Row],[UnitsSold]]&gt;3000,"Large",IF(Table1[[#This Row],[UnitsSold]]&gt;1500,"Midium","Small"))</f>
        <v>Midium</v>
      </c>
    </row>
    <row r="98" spans="1:17" x14ac:dyDescent="0.3">
      <c r="A98" s="2" t="s">
        <v>47</v>
      </c>
      <c r="B98" s="2" t="s">
        <v>67</v>
      </c>
      <c r="C98" s="2" t="s">
        <v>122</v>
      </c>
      <c r="D98" s="2" t="s">
        <v>135</v>
      </c>
      <c r="E98" s="4">
        <v>1989</v>
      </c>
      <c r="F98" s="7" t="s">
        <v>123</v>
      </c>
      <c r="G98" s="7">
        <v>12</v>
      </c>
      <c r="H98" s="7" t="s">
        <v>245</v>
      </c>
      <c r="I98" s="7" t="s">
        <v>246</v>
      </c>
      <c r="J98" s="7">
        <v>23629.32</v>
      </c>
      <c r="K98" s="7" t="s">
        <v>247</v>
      </c>
      <c r="L98" s="7">
        <v>17662.32</v>
      </c>
      <c r="M98" s="1">
        <v>41518</v>
      </c>
      <c r="N98" s="4">
        <v>9</v>
      </c>
      <c r="O98" s="2" t="s">
        <v>63</v>
      </c>
      <c r="P98" s="4">
        <v>2013</v>
      </c>
      <c r="Q98" t="str">
        <f>IF(Table1[[#This Row],[UnitsSold]]&gt;3000,"Large",IF(Table1[[#This Row],[UnitsSold]]&gt;1500,"Midium","Small"))</f>
        <v>Midium</v>
      </c>
    </row>
    <row r="99" spans="1:17" x14ac:dyDescent="0.3">
      <c r="A99" s="2" t="s">
        <v>7</v>
      </c>
      <c r="B99" s="2" t="s">
        <v>8</v>
      </c>
      <c r="C99" s="2" t="s">
        <v>122</v>
      </c>
      <c r="D99" s="2" t="s">
        <v>135</v>
      </c>
      <c r="E99" s="4">
        <v>321</v>
      </c>
      <c r="F99" s="7" t="s">
        <v>123</v>
      </c>
      <c r="G99" s="7">
        <v>15</v>
      </c>
      <c r="H99" s="7" t="s">
        <v>248</v>
      </c>
      <c r="I99" s="7" t="s">
        <v>249</v>
      </c>
      <c r="J99" s="7">
        <v>4766.8500000000004</v>
      </c>
      <c r="K99" s="7" t="s">
        <v>250</v>
      </c>
      <c r="L99" s="7">
        <v>1556.85</v>
      </c>
      <c r="M99" s="1">
        <v>41579</v>
      </c>
      <c r="N99" s="4">
        <v>11</v>
      </c>
      <c r="O99" s="2" t="s">
        <v>94</v>
      </c>
      <c r="P99" s="4">
        <v>2013</v>
      </c>
      <c r="Q99" t="str">
        <f>IF(Table1[[#This Row],[UnitsSold]]&gt;3000,"Large",IF(Table1[[#This Row],[UnitsSold]]&gt;1500,"Midium","Small"))</f>
        <v>Small</v>
      </c>
    </row>
    <row r="100" spans="1:17" x14ac:dyDescent="0.3">
      <c r="A100" s="2" t="s">
        <v>10</v>
      </c>
      <c r="B100" s="2" t="s">
        <v>5</v>
      </c>
      <c r="C100" s="2" t="s">
        <v>23</v>
      </c>
      <c r="D100" s="2" t="s">
        <v>135</v>
      </c>
      <c r="E100" s="4">
        <v>742.5</v>
      </c>
      <c r="F100" s="7" t="s">
        <v>25</v>
      </c>
      <c r="G100" s="7">
        <v>125</v>
      </c>
      <c r="H100" s="7" t="s">
        <v>251</v>
      </c>
      <c r="I100" s="7" t="s">
        <v>252</v>
      </c>
      <c r="J100" s="7">
        <v>90956.25</v>
      </c>
      <c r="K100" s="7" t="s">
        <v>253</v>
      </c>
      <c r="L100" s="7">
        <v>1856.25</v>
      </c>
      <c r="M100" s="1">
        <v>41730</v>
      </c>
      <c r="N100" s="4">
        <v>4</v>
      </c>
      <c r="O100" s="2" t="s">
        <v>117</v>
      </c>
      <c r="P100" s="4">
        <v>2014</v>
      </c>
      <c r="Q100" t="str">
        <f>IF(Table1[[#This Row],[UnitsSold]]&gt;3000,"Large",IF(Table1[[#This Row],[UnitsSold]]&gt;1500,"Midium","Small"))</f>
        <v>Small</v>
      </c>
    </row>
    <row r="101" spans="1:17" x14ac:dyDescent="0.3">
      <c r="A101" s="2" t="s">
        <v>47</v>
      </c>
      <c r="B101" s="2" t="s">
        <v>5</v>
      </c>
      <c r="C101" s="2" t="s">
        <v>23</v>
      </c>
      <c r="D101" s="2" t="s">
        <v>135</v>
      </c>
      <c r="E101" s="4">
        <v>1295</v>
      </c>
      <c r="F101" s="7" t="s">
        <v>25</v>
      </c>
      <c r="G101" s="7">
        <v>12</v>
      </c>
      <c r="H101" s="7" t="s">
        <v>254</v>
      </c>
      <c r="I101" s="7" t="s">
        <v>255</v>
      </c>
      <c r="J101" s="7">
        <v>15229.2</v>
      </c>
      <c r="K101" s="7" t="s">
        <v>256</v>
      </c>
      <c r="L101" s="7">
        <v>11344.2</v>
      </c>
      <c r="M101" s="1">
        <v>41913</v>
      </c>
      <c r="N101" s="4">
        <v>10</v>
      </c>
      <c r="O101" s="2" t="s">
        <v>66</v>
      </c>
      <c r="P101" s="4">
        <v>2014</v>
      </c>
      <c r="Q101" t="str">
        <f>IF(Table1[[#This Row],[UnitsSold]]&gt;3000,"Large",IF(Table1[[#This Row],[UnitsSold]]&gt;1500,"Midium","Small"))</f>
        <v>Small</v>
      </c>
    </row>
    <row r="102" spans="1:17" x14ac:dyDescent="0.3">
      <c r="A102" s="2" t="s">
        <v>57</v>
      </c>
      <c r="B102" s="2" t="s">
        <v>6</v>
      </c>
      <c r="C102" s="2" t="s">
        <v>23</v>
      </c>
      <c r="D102" s="2" t="s">
        <v>135</v>
      </c>
      <c r="E102" s="4">
        <v>214</v>
      </c>
      <c r="F102" s="7" t="s">
        <v>25</v>
      </c>
      <c r="G102" s="7">
        <v>300</v>
      </c>
      <c r="H102" s="7" t="s">
        <v>257</v>
      </c>
      <c r="I102" s="7" t="s">
        <v>258</v>
      </c>
      <c r="J102" s="7">
        <v>62916</v>
      </c>
      <c r="K102" s="7" t="s">
        <v>259</v>
      </c>
      <c r="L102" s="7">
        <v>9416</v>
      </c>
      <c r="M102" s="1">
        <v>41548</v>
      </c>
      <c r="N102" s="4">
        <v>10</v>
      </c>
      <c r="O102" s="2" t="s">
        <v>66</v>
      </c>
      <c r="P102" s="4">
        <v>2013</v>
      </c>
      <c r="Q102" t="str">
        <f>IF(Table1[[#This Row],[UnitsSold]]&gt;3000,"Large",IF(Table1[[#This Row],[UnitsSold]]&gt;1500,"Midium","Small"))</f>
        <v>Small</v>
      </c>
    </row>
    <row r="103" spans="1:17" x14ac:dyDescent="0.3">
      <c r="A103" s="2" t="s">
        <v>4</v>
      </c>
      <c r="B103" s="2" t="s">
        <v>8</v>
      </c>
      <c r="C103" s="2" t="s">
        <v>23</v>
      </c>
      <c r="D103" s="2" t="s">
        <v>135</v>
      </c>
      <c r="E103" s="4">
        <v>2145</v>
      </c>
      <c r="F103" s="7" t="s">
        <v>25</v>
      </c>
      <c r="G103" s="7">
        <v>7</v>
      </c>
      <c r="H103" s="7" t="s">
        <v>260</v>
      </c>
      <c r="I103" s="7" t="s">
        <v>261</v>
      </c>
      <c r="J103" s="7">
        <v>14714.7</v>
      </c>
      <c r="K103" s="7" t="s">
        <v>262</v>
      </c>
      <c r="L103" s="7">
        <v>3989.7</v>
      </c>
      <c r="M103" s="1">
        <v>41579</v>
      </c>
      <c r="N103" s="4">
        <v>11</v>
      </c>
      <c r="O103" s="2" t="s">
        <v>94</v>
      </c>
      <c r="P103" s="4">
        <v>2013</v>
      </c>
      <c r="Q103" t="str">
        <f>IF(Table1[[#This Row],[UnitsSold]]&gt;3000,"Large",IF(Table1[[#This Row],[UnitsSold]]&gt;1500,"Midium","Small"))</f>
        <v>Midium</v>
      </c>
    </row>
    <row r="104" spans="1:17" x14ac:dyDescent="0.3">
      <c r="A104" s="2" t="s">
        <v>4</v>
      </c>
      <c r="B104" s="2" t="s">
        <v>5</v>
      </c>
      <c r="C104" s="2" t="s">
        <v>23</v>
      </c>
      <c r="D104" s="2" t="s">
        <v>135</v>
      </c>
      <c r="E104" s="4">
        <v>2852</v>
      </c>
      <c r="F104" s="7" t="s">
        <v>25</v>
      </c>
      <c r="G104" s="7">
        <v>350</v>
      </c>
      <c r="H104" s="7" t="s">
        <v>263</v>
      </c>
      <c r="I104" s="7" t="s">
        <v>264</v>
      </c>
      <c r="J104" s="7" t="s">
        <v>1669</v>
      </c>
      <c r="K104" s="7" t="s">
        <v>265</v>
      </c>
      <c r="L104" s="7" t="s">
        <v>1869</v>
      </c>
      <c r="M104" s="1">
        <v>41974</v>
      </c>
      <c r="N104" s="4">
        <v>12</v>
      </c>
      <c r="O104" s="2" t="s">
        <v>41</v>
      </c>
      <c r="P104" s="4">
        <v>2014</v>
      </c>
      <c r="Q104" t="str">
        <f>IF(Table1[[#This Row],[UnitsSold]]&gt;3000,"Large",IF(Table1[[#This Row],[UnitsSold]]&gt;1500,"Midium","Small"))</f>
        <v>Midium</v>
      </c>
    </row>
    <row r="105" spans="1:17" x14ac:dyDescent="0.3">
      <c r="A105" s="2" t="s">
        <v>47</v>
      </c>
      <c r="B105" s="2" t="s">
        <v>67</v>
      </c>
      <c r="C105" s="2" t="s">
        <v>42</v>
      </c>
      <c r="D105" s="2" t="s">
        <v>135</v>
      </c>
      <c r="E105" s="4">
        <v>1142</v>
      </c>
      <c r="F105" s="7" t="s">
        <v>43</v>
      </c>
      <c r="G105" s="7">
        <v>12</v>
      </c>
      <c r="H105" s="7" t="s">
        <v>266</v>
      </c>
      <c r="I105" s="7" t="s">
        <v>267</v>
      </c>
      <c r="J105" s="7">
        <v>13429.92</v>
      </c>
      <c r="K105" s="7" t="s">
        <v>268</v>
      </c>
      <c r="L105" s="7">
        <v>10003.92</v>
      </c>
      <c r="M105" s="1">
        <v>41791</v>
      </c>
      <c r="N105" s="4">
        <v>6</v>
      </c>
      <c r="O105" s="2" t="s">
        <v>34</v>
      </c>
      <c r="P105" s="4">
        <v>2014</v>
      </c>
      <c r="Q105" t="str">
        <f>IF(Table1[[#This Row],[UnitsSold]]&gt;3000,"Large",IF(Table1[[#This Row],[UnitsSold]]&gt;1500,"Midium","Small"))</f>
        <v>Small</v>
      </c>
    </row>
    <row r="106" spans="1:17" x14ac:dyDescent="0.3">
      <c r="A106" s="2" t="s">
        <v>4</v>
      </c>
      <c r="B106" s="2" t="s">
        <v>67</v>
      </c>
      <c r="C106" s="2" t="s">
        <v>42</v>
      </c>
      <c r="D106" s="2" t="s">
        <v>135</v>
      </c>
      <c r="E106" s="4">
        <v>1566</v>
      </c>
      <c r="F106" s="7" t="s">
        <v>43</v>
      </c>
      <c r="G106" s="7">
        <v>20</v>
      </c>
      <c r="H106" s="7" t="s">
        <v>269</v>
      </c>
      <c r="I106" s="7" t="s">
        <v>270</v>
      </c>
      <c r="J106" s="7">
        <v>30693.599999999999</v>
      </c>
      <c r="K106" s="7" t="s">
        <v>271</v>
      </c>
      <c r="L106" s="7">
        <v>15033.6</v>
      </c>
      <c r="M106" s="1">
        <v>41913</v>
      </c>
      <c r="N106" s="4">
        <v>10</v>
      </c>
      <c r="O106" s="2" t="s">
        <v>66</v>
      </c>
      <c r="P106" s="4">
        <v>2014</v>
      </c>
      <c r="Q106" t="str">
        <f>IF(Table1[[#This Row],[UnitsSold]]&gt;3000,"Large",IF(Table1[[#This Row],[UnitsSold]]&gt;1500,"Midium","Small"))</f>
        <v>Midium</v>
      </c>
    </row>
    <row r="107" spans="1:17" x14ac:dyDescent="0.3">
      <c r="A107" s="2" t="s">
        <v>47</v>
      </c>
      <c r="B107" s="2" t="s">
        <v>9</v>
      </c>
      <c r="C107" s="2" t="s">
        <v>42</v>
      </c>
      <c r="D107" s="2" t="s">
        <v>135</v>
      </c>
      <c r="E107" s="4">
        <v>690</v>
      </c>
      <c r="F107" s="7" t="s">
        <v>43</v>
      </c>
      <c r="G107" s="7">
        <v>12</v>
      </c>
      <c r="H107" s="7" t="s">
        <v>272</v>
      </c>
      <c r="I107" s="7" t="s">
        <v>273</v>
      </c>
      <c r="J107" s="7">
        <v>8114.4</v>
      </c>
      <c r="K107" s="7" t="s">
        <v>274</v>
      </c>
      <c r="L107" s="7">
        <v>6044.4</v>
      </c>
      <c r="M107" s="1">
        <v>41944</v>
      </c>
      <c r="N107" s="4">
        <v>11</v>
      </c>
      <c r="O107" s="2" t="s">
        <v>94</v>
      </c>
      <c r="P107" s="4">
        <v>2014</v>
      </c>
      <c r="Q107" t="str">
        <f>IF(Table1[[#This Row],[UnitsSold]]&gt;3000,"Large",IF(Table1[[#This Row],[UnitsSold]]&gt;1500,"Midium","Small"))</f>
        <v>Small</v>
      </c>
    </row>
    <row r="108" spans="1:17" x14ac:dyDescent="0.3">
      <c r="A108" s="2" t="s">
        <v>10</v>
      </c>
      <c r="B108" s="2" t="s">
        <v>9</v>
      </c>
      <c r="C108" s="2" t="s">
        <v>42</v>
      </c>
      <c r="D108" s="2" t="s">
        <v>135</v>
      </c>
      <c r="E108" s="4">
        <v>1660</v>
      </c>
      <c r="F108" s="7" t="s">
        <v>43</v>
      </c>
      <c r="G108" s="7">
        <v>125</v>
      </c>
      <c r="H108" s="7" t="s">
        <v>275</v>
      </c>
      <c r="I108" s="7" t="s">
        <v>276</v>
      </c>
      <c r="J108" s="7" t="s">
        <v>1670</v>
      </c>
      <c r="K108" s="7" t="s">
        <v>277</v>
      </c>
      <c r="L108" s="7">
        <v>4150</v>
      </c>
      <c r="M108" s="1">
        <v>41579</v>
      </c>
      <c r="N108" s="4">
        <v>11</v>
      </c>
      <c r="O108" s="2" t="s">
        <v>94</v>
      </c>
      <c r="P108" s="4">
        <v>2013</v>
      </c>
      <c r="Q108" t="str">
        <f>IF(Table1[[#This Row],[UnitsSold]]&gt;3000,"Large",IF(Table1[[#This Row],[UnitsSold]]&gt;1500,"Midium","Small"))</f>
        <v>Midium</v>
      </c>
    </row>
    <row r="109" spans="1:17" x14ac:dyDescent="0.3">
      <c r="A109" s="2" t="s">
        <v>7</v>
      </c>
      <c r="B109" s="2" t="s">
        <v>5</v>
      </c>
      <c r="C109" s="2" t="s">
        <v>70</v>
      </c>
      <c r="D109" s="2" t="s">
        <v>135</v>
      </c>
      <c r="E109" s="4">
        <v>2363</v>
      </c>
      <c r="F109" s="7" t="s">
        <v>71</v>
      </c>
      <c r="G109" s="7">
        <v>15</v>
      </c>
      <c r="H109" s="7" t="s">
        <v>278</v>
      </c>
      <c r="I109" s="7" t="s">
        <v>279</v>
      </c>
      <c r="J109" s="7">
        <v>34736.1</v>
      </c>
      <c r="K109" s="7" t="s">
        <v>280</v>
      </c>
      <c r="L109" s="7">
        <v>11106.1</v>
      </c>
      <c r="M109" s="1">
        <v>41671</v>
      </c>
      <c r="N109" s="4">
        <v>2</v>
      </c>
      <c r="O109" s="2" t="s">
        <v>74</v>
      </c>
      <c r="P109" s="4">
        <v>2014</v>
      </c>
      <c r="Q109" t="str">
        <f>IF(Table1[[#This Row],[UnitsSold]]&gt;3000,"Large",IF(Table1[[#This Row],[UnitsSold]]&gt;1500,"Midium","Small"))</f>
        <v>Midium</v>
      </c>
    </row>
    <row r="110" spans="1:17" x14ac:dyDescent="0.3">
      <c r="A110" s="2" t="s">
        <v>57</v>
      </c>
      <c r="B110" s="2" t="s">
        <v>8</v>
      </c>
      <c r="C110" s="2" t="s">
        <v>70</v>
      </c>
      <c r="D110" s="2" t="s">
        <v>135</v>
      </c>
      <c r="E110" s="4">
        <v>918</v>
      </c>
      <c r="F110" s="7" t="s">
        <v>71</v>
      </c>
      <c r="G110" s="7">
        <v>300</v>
      </c>
      <c r="H110" s="7" t="s">
        <v>282</v>
      </c>
      <c r="I110" s="7" t="s">
        <v>283</v>
      </c>
      <c r="J110" s="7" t="s">
        <v>1671</v>
      </c>
      <c r="K110" s="7" t="s">
        <v>284</v>
      </c>
      <c r="L110" s="7">
        <v>40392</v>
      </c>
      <c r="M110" s="1">
        <v>41760</v>
      </c>
      <c r="N110" s="4">
        <v>5</v>
      </c>
      <c r="O110" s="2" t="s">
        <v>145</v>
      </c>
      <c r="P110" s="4">
        <v>2014</v>
      </c>
      <c r="Q110" t="str">
        <f>IF(Table1[[#This Row],[UnitsSold]]&gt;3000,"Large",IF(Table1[[#This Row],[UnitsSold]]&gt;1500,"Midium","Small"))</f>
        <v>Small</v>
      </c>
    </row>
    <row r="111" spans="1:17" x14ac:dyDescent="0.3">
      <c r="A111" s="2" t="s">
        <v>57</v>
      </c>
      <c r="B111" s="2" t="s">
        <v>6</v>
      </c>
      <c r="C111" s="2" t="s">
        <v>70</v>
      </c>
      <c r="D111" s="2" t="s">
        <v>135</v>
      </c>
      <c r="E111" s="4">
        <v>1728</v>
      </c>
      <c r="F111" s="7" t="s">
        <v>71</v>
      </c>
      <c r="G111" s="7">
        <v>300</v>
      </c>
      <c r="H111" s="7" t="s">
        <v>285</v>
      </c>
      <c r="I111" s="7" t="s">
        <v>286</v>
      </c>
      <c r="J111" s="7" t="s">
        <v>1672</v>
      </c>
      <c r="K111" s="7" t="s">
        <v>287</v>
      </c>
      <c r="L111" s="7">
        <v>76032</v>
      </c>
      <c r="M111" s="1">
        <v>41760</v>
      </c>
      <c r="N111" s="4">
        <v>5</v>
      </c>
      <c r="O111" s="2" t="s">
        <v>145</v>
      </c>
      <c r="P111" s="4">
        <v>2014</v>
      </c>
      <c r="Q111" t="str">
        <f>IF(Table1[[#This Row],[UnitsSold]]&gt;3000,"Large",IF(Table1[[#This Row],[UnitsSold]]&gt;1500,"Midium","Small"))</f>
        <v>Midium</v>
      </c>
    </row>
    <row r="112" spans="1:17" x14ac:dyDescent="0.3">
      <c r="A112" s="2" t="s">
        <v>47</v>
      </c>
      <c r="B112" s="2" t="s">
        <v>67</v>
      </c>
      <c r="C112" s="2" t="s">
        <v>70</v>
      </c>
      <c r="D112" s="2" t="s">
        <v>135</v>
      </c>
      <c r="E112" s="4">
        <v>1142</v>
      </c>
      <c r="F112" s="7" t="s">
        <v>71</v>
      </c>
      <c r="G112" s="7">
        <v>12</v>
      </c>
      <c r="H112" s="7" t="s">
        <v>266</v>
      </c>
      <c r="I112" s="7" t="s">
        <v>267</v>
      </c>
      <c r="J112" s="7">
        <v>13429.92</v>
      </c>
      <c r="K112" s="7" t="s">
        <v>268</v>
      </c>
      <c r="L112" s="7">
        <v>10003.92</v>
      </c>
      <c r="M112" s="1">
        <v>41791</v>
      </c>
      <c r="N112" s="4">
        <v>6</v>
      </c>
      <c r="O112" s="2" t="s">
        <v>34</v>
      </c>
      <c r="P112" s="4">
        <v>2014</v>
      </c>
      <c r="Q112" t="str">
        <f>IF(Table1[[#This Row],[UnitsSold]]&gt;3000,"Large",IF(Table1[[#This Row],[UnitsSold]]&gt;1500,"Midium","Small"))</f>
        <v>Small</v>
      </c>
    </row>
    <row r="113" spans="1:17" x14ac:dyDescent="0.3">
      <c r="A113" s="2" t="s">
        <v>10</v>
      </c>
      <c r="B113" s="2" t="s">
        <v>9</v>
      </c>
      <c r="C113" s="2" t="s">
        <v>70</v>
      </c>
      <c r="D113" s="2" t="s">
        <v>135</v>
      </c>
      <c r="E113" s="4">
        <v>662</v>
      </c>
      <c r="F113" s="7" t="s">
        <v>71</v>
      </c>
      <c r="G113" s="7">
        <v>125</v>
      </c>
      <c r="H113" s="7" t="s">
        <v>288</v>
      </c>
      <c r="I113" s="7" t="s">
        <v>289</v>
      </c>
      <c r="J113" s="7">
        <v>81095</v>
      </c>
      <c r="K113" s="7" t="s">
        <v>290</v>
      </c>
      <c r="L113" s="7">
        <v>1655</v>
      </c>
      <c r="M113" s="1">
        <v>41791</v>
      </c>
      <c r="N113" s="4">
        <v>6</v>
      </c>
      <c r="O113" s="2" t="s">
        <v>34</v>
      </c>
      <c r="P113" s="4">
        <v>2014</v>
      </c>
      <c r="Q113" t="str">
        <f>IF(Table1[[#This Row],[UnitsSold]]&gt;3000,"Large",IF(Table1[[#This Row],[UnitsSold]]&gt;1500,"Midium","Small"))</f>
        <v>Small</v>
      </c>
    </row>
    <row r="114" spans="1:17" x14ac:dyDescent="0.3">
      <c r="A114" s="2" t="s">
        <v>47</v>
      </c>
      <c r="B114" s="2" t="s">
        <v>5</v>
      </c>
      <c r="C114" s="2" t="s">
        <v>70</v>
      </c>
      <c r="D114" s="2" t="s">
        <v>135</v>
      </c>
      <c r="E114" s="4">
        <v>1295</v>
      </c>
      <c r="F114" s="7" t="s">
        <v>71</v>
      </c>
      <c r="G114" s="7">
        <v>12</v>
      </c>
      <c r="H114" s="7" t="s">
        <v>254</v>
      </c>
      <c r="I114" s="7" t="s">
        <v>255</v>
      </c>
      <c r="J114" s="7">
        <v>15229.2</v>
      </c>
      <c r="K114" s="7" t="s">
        <v>256</v>
      </c>
      <c r="L114" s="7">
        <v>11344.2</v>
      </c>
      <c r="M114" s="1">
        <v>41913</v>
      </c>
      <c r="N114" s="4">
        <v>10</v>
      </c>
      <c r="O114" s="2" t="s">
        <v>66</v>
      </c>
      <c r="P114" s="4">
        <v>2014</v>
      </c>
      <c r="Q114" t="str">
        <f>IF(Table1[[#This Row],[UnitsSold]]&gt;3000,"Large",IF(Table1[[#This Row],[UnitsSold]]&gt;1500,"Midium","Small"))</f>
        <v>Small</v>
      </c>
    </row>
    <row r="115" spans="1:17" x14ac:dyDescent="0.3">
      <c r="A115" s="2" t="s">
        <v>10</v>
      </c>
      <c r="B115" s="2" t="s">
        <v>6</v>
      </c>
      <c r="C115" s="2" t="s">
        <v>70</v>
      </c>
      <c r="D115" s="2" t="s">
        <v>135</v>
      </c>
      <c r="E115" s="4">
        <v>809</v>
      </c>
      <c r="F115" s="7" t="s">
        <v>71</v>
      </c>
      <c r="G115" s="7">
        <v>125</v>
      </c>
      <c r="H115" s="7" t="s">
        <v>291</v>
      </c>
      <c r="I115" s="7" t="s">
        <v>292</v>
      </c>
      <c r="J115" s="7">
        <v>99102.5</v>
      </c>
      <c r="K115" s="7" t="s">
        <v>293</v>
      </c>
      <c r="L115" s="7">
        <v>2022.5</v>
      </c>
      <c r="M115" s="1">
        <v>41548</v>
      </c>
      <c r="N115" s="4">
        <v>10</v>
      </c>
      <c r="O115" s="2" t="s">
        <v>66</v>
      </c>
      <c r="P115" s="4">
        <v>2013</v>
      </c>
      <c r="Q115" t="str">
        <f>IF(Table1[[#This Row],[UnitsSold]]&gt;3000,"Large",IF(Table1[[#This Row],[UnitsSold]]&gt;1500,"Midium","Small"))</f>
        <v>Small</v>
      </c>
    </row>
    <row r="116" spans="1:17" x14ac:dyDescent="0.3">
      <c r="A116" s="2" t="s">
        <v>10</v>
      </c>
      <c r="B116" s="2" t="s">
        <v>9</v>
      </c>
      <c r="C116" s="2" t="s">
        <v>70</v>
      </c>
      <c r="D116" s="2" t="s">
        <v>135</v>
      </c>
      <c r="E116" s="4">
        <v>2145</v>
      </c>
      <c r="F116" s="7" t="s">
        <v>71</v>
      </c>
      <c r="G116" s="7">
        <v>125</v>
      </c>
      <c r="H116" s="7" t="s">
        <v>294</v>
      </c>
      <c r="I116" s="7" t="s">
        <v>295</v>
      </c>
      <c r="J116" s="7" t="s">
        <v>1673</v>
      </c>
      <c r="K116" s="7" t="s">
        <v>296</v>
      </c>
      <c r="L116" s="7">
        <v>5362.5</v>
      </c>
      <c r="M116" s="1">
        <v>41548</v>
      </c>
      <c r="N116" s="4">
        <v>10</v>
      </c>
      <c r="O116" s="2" t="s">
        <v>66</v>
      </c>
      <c r="P116" s="4">
        <v>2013</v>
      </c>
      <c r="Q116" t="str">
        <f>IF(Table1[[#This Row],[UnitsSold]]&gt;3000,"Large",IF(Table1[[#This Row],[UnitsSold]]&gt;1500,"Midium","Small"))</f>
        <v>Midium</v>
      </c>
    </row>
    <row r="117" spans="1:17" x14ac:dyDescent="0.3">
      <c r="A117" s="2" t="s">
        <v>47</v>
      </c>
      <c r="B117" s="2" t="s">
        <v>8</v>
      </c>
      <c r="C117" s="2" t="s">
        <v>70</v>
      </c>
      <c r="D117" s="2" t="s">
        <v>135</v>
      </c>
      <c r="E117" s="4">
        <v>1785</v>
      </c>
      <c r="F117" s="7" t="s">
        <v>71</v>
      </c>
      <c r="G117" s="7">
        <v>12</v>
      </c>
      <c r="H117" s="7" t="s">
        <v>297</v>
      </c>
      <c r="I117" s="7" t="s">
        <v>298</v>
      </c>
      <c r="J117" s="7">
        <v>20991.599999999999</v>
      </c>
      <c r="K117" s="7" t="s">
        <v>299</v>
      </c>
      <c r="L117" s="7">
        <v>15636.6</v>
      </c>
      <c r="M117" s="1">
        <v>41579</v>
      </c>
      <c r="N117" s="4">
        <v>11</v>
      </c>
      <c r="O117" s="2" t="s">
        <v>94</v>
      </c>
      <c r="P117" s="4">
        <v>2013</v>
      </c>
      <c r="Q117" t="str">
        <f>IF(Table1[[#This Row],[UnitsSold]]&gt;3000,"Large",IF(Table1[[#This Row],[UnitsSold]]&gt;1500,"Midium","Small"))</f>
        <v>Midium</v>
      </c>
    </row>
    <row r="118" spans="1:17" x14ac:dyDescent="0.3">
      <c r="A118" s="2" t="s">
        <v>57</v>
      </c>
      <c r="B118" s="2" t="s">
        <v>5</v>
      </c>
      <c r="C118" s="2" t="s">
        <v>70</v>
      </c>
      <c r="D118" s="2" t="s">
        <v>135</v>
      </c>
      <c r="E118" s="4">
        <v>1916</v>
      </c>
      <c r="F118" s="7" t="s">
        <v>71</v>
      </c>
      <c r="G118" s="7">
        <v>300</v>
      </c>
      <c r="H118" s="7" t="s">
        <v>300</v>
      </c>
      <c r="I118" s="7" t="s">
        <v>301</v>
      </c>
      <c r="J118" s="7" t="s">
        <v>1674</v>
      </c>
      <c r="K118" s="7" t="s">
        <v>302</v>
      </c>
      <c r="L118" s="7">
        <v>84304</v>
      </c>
      <c r="M118" s="1">
        <v>41974</v>
      </c>
      <c r="N118" s="4">
        <v>12</v>
      </c>
      <c r="O118" s="2" t="s">
        <v>41</v>
      </c>
      <c r="P118" s="4">
        <v>2014</v>
      </c>
      <c r="Q118" t="str">
        <f>IF(Table1[[#This Row],[UnitsSold]]&gt;3000,"Large",IF(Table1[[#This Row],[UnitsSold]]&gt;1500,"Midium","Small"))</f>
        <v>Midium</v>
      </c>
    </row>
    <row r="119" spans="1:17" x14ac:dyDescent="0.3">
      <c r="A119" s="2" t="s">
        <v>4</v>
      </c>
      <c r="B119" s="2" t="s">
        <v>5</v>
      </c>
      <c r="C119" s="2" t="s">
        <v>70</v>
      </c>
      <c r="D119" s="2" t="s">
        <v>135</v>
      </c>
      <c r="E119" s="4">
        <v>2852</v>
      </c>
      <c r="F119" s="7" t="s">
        <v>71</v>
      </c>
      <c r="G119" s="7">
        <v>350</v>
      </c>
      <c r="H119" s="7" t="s">
        <v>263</v>
      </c>
      <c r="I119" s="7" t="s">
        <v>264</v>
      </c>
      <c r="J119" s="7" t="s">
        <v>1669</v>
      </c>
      <c r="K119" s="7" t="s">
        <v>265</v>
      </c>
      <c r="L119" s="7" t="s">
        <v>1869</v>
      </c>
      <c r="M119" s="1">
        <v>41974</v>
      </c>
      <c r="N119" s="4">
        <v>12</v>
      </c>
      <c r="O119" s="2" t="s">
        <v>41</v>
      </c>
      <c r="P119" s="4">
        <v>2014</v>
      </c>
      <c r="Q119" t="str">
        <f>IF(Table1[[#This Row],[UnitsSold]]&gt;3000,"Large",IF(Table1[[#This Row],[UnitsSold]]&gt;1500,"Midium","Small"))</f>
        <v>Midium</v>
      </c>
    </row>
    <row r="120" spans="1:17" x14ac:dyDescent="0.3">
      <c r="A120" s="2" t="s">
        <v>10</v>
      </c>
      <c r="B120" s="2" t="s">
        <v>5</v>
      </c>
      <c r="C120" s="2" t="s">
        <v>70</v>
      </c>
      <c r="D120" s="2" t="s">
        <v>135</v>
      </c>
      <c r="E120" s="4">
        <v>2729</v>
      </c>
      <c r="F120" s="7" t="s">
        <v>71</v>
      </c>
      <c r="G120" s="7">
        <v>125</v>
      </c>
      <c r="H120" s="7" t="s">
        <v>303</v>
      </c>
      <c r="I120" s="7" t="s">
        <v>304</v>
      </c>
      <c r="J120" s="7" t="s">
        <v>1675</v>
      </c>
      <c r="K120" s="7" t="s">
        <v>305</v>
      </c>
      <c r="L120" s="7">
        <v>6822.5</v>
      </c>
      <c r="M120" s="1">
        <v>41974</v>
      </c>
      <c r="N120" s="4">
        <v>12</v>
      </c>
      <c r="O120" s="2" t="s">
        <v>41</v>
      </c>
      <c r="P120" s="4">
        <v>2014</v>
      </c>
      <c r="Q120" t="str">
        <f>IF(Table1[[#This Row],[UnitsSold]]&gt;3000,"Large",IF(Table1[[#This Row],[UnitsSold]]&gt;1500,"Midium","Small"))</f>
        <v>Midium</v>
      </c>
    </row>
    <row r="121" spans="1:17" x14ac:dyDescent="0.3">
      <c r="A121" s="2" t="s">
        <v>7</v>
      </c>
      <c r="B121" s="2" t="s">
        <v>67</v>
      </c>
      <c r="C121" s="2" t="s">
        <v>70</v>
      </c>
      <c r="D121" s="2" t="s">
        <v>135</v>
      </c>
      <c r="E121" s="4">
        <v>1925</v>
      </c>
      <c r="F121" s="7" t="s">
        <v>71</v>
      </c>
      <c r="G121" s="7">
        <v>15</v>
      </c>
      <c r="H121" s="7" t="s">
        <v>306</v>
      </c>
      <c r="I121" s="7" t="s">
        <v>307</v>
      </c>
      <c r="J121" s="7">
        <v>28297.5</v>
      </c>
      <c r="K121" s="7" t="s">
        <v>308</v>
      </c>
      <c r="L121" s="7">
        <v>9047.5</v>
      </c>
      <c r="M121" s="1">
        <v>41609</v>
      </c>
      <c r="N121" s="4">
        <v>12</v>
      </c>
      <c r="O121" s="2" t="s">
        <v>41</v>
      </c>
      <c r="P121" s="4">
        <v>2013</v>
      </c>
      <c r="Q121" t="str">
        <f>IF(Table1[[#This Row],[UnitsSold]]&gt;3000,"Large",IF(Table1[[#This Row],[UnitsSold]]&gt;1500,"Midium","Small"))</f>
        <v>Midium</v>
      </c>
    </row>
    <row r="122" spans="1:17" x14ac:dyDescent="0.3">
      <c r="A122" s="2" t="s">
        <v>4</v>
      </c>
      <c r="B122" s="2" t="s">
        <v>67</v>
      </c>
      <c r="C122" s="2" t="s">
        <v>70</v>
      </c>
      <c r="D122" s="2" t="s">
        <v>135</v>
      </c>
      <c r="E122" s="4">
        <v>2013</v>
      </c>
      <c r="F122" s="7" t="s">
        <v>71</v>
      </c>
      <c r="G122" s="7">
        <v>7</v>
      </c>
      <c r="H122" s="7" t="s">
        <v>309</v>
      </c>
      <c r="I122" s="7" t="s">
        <v>310</v>
      </c>
      <c r="J122" s="7">
        <v>13809.18</v>
      </c>
      <c r="K122" s="7" t="s">
        <v>311</v>
      </c>
      <c r="L122" s="7">
        <v>3744.18</v>
      </c>
      <c r="M122" s="1">
        <v>41609</v>
      </c>
      <c r="N122" s="4">
        <v>12</v>
      </c>
      <c r="O122" s="2" t="s">
        <v>41</v>
      </c>
      <c r="P122" s="4">
        <v>2013</v>
      </c>
      <c r="Q122" t="str">
        <f>IF(Table1[[#This Row],[UnitsSold]]&gt;3000,"Large",IF(Table1[[#This Row],[UnitsSold]]&gt;1500,"Midium","Small"))</f>
        <v>Midium</v>
      </c>
    </row>
    <row r="123" spans="1:17" x14ac:dyDescent="0.3">
      <c r="A123" s="2" t="s">
        <v>47</v>
      </c>
      <c r="B123" s="2" t="s">
        <v>8</v>
      </c>
      <c r="C123" s="2" t="s">
        <v>70</v>
      </c>
      <c r="D123" s="2" t="s">
        <v>135</v>
      </c>
      <c r="E123" s="4">
        <v>1055</v>
      </c>
      <c r="F123" s="7" t="s">
        <v>71</v>
      </c>
      <c r="G123" s="7">
        <v>12</v>
      </c>
      <c r="H123" s="7" t="s">
        <v>312</v>
      </c>
      <c r="I123" s="7" t="s">
        <v>313</v>
      </c>
      <c r="J123" s="7">
        <v>12406.8</v>
      </c>
      <c r="K123" s="7" t="s">
        <v>314</v>
      </c>
      <c r="L123" s="7">
        <v>9241.7999999999993</v>
      </c>
      <c r="M123" s="1">
        <v>41974</v>
      </c>
      <c r="N123" s="4">
        <v>12</v>
      </c>
      <c r="O123" s="2" t="s">
        <v>41</v>
      </c>
      <c r="P123" s="4">
        <v>2014</v>
      </c>
      <c r="Q123" t="str">
        <f>IF(Table1[[#This Row],[UnitsSold]]&gt;3000,"Large",IF(Table1[[#This Row],[UnitsSold]]&gt;1500,"Midium","Small"))</f>
        <v>Small</v>
      </c>
    </row>
    <row r="124" spans="1:17" x14ac:dyDescent="0.3">
      <c r="A124" s="2" t="s">
        <v>47</v>
      </c>
      <c r="B124" s="2" t="s">
        <v>9</v>
      </c>
      <c r="C124" s="2" t="s">
        <v>70</v>
      </c>
      <c r="D124" s="2" t="s">
        <v>135</v>
      </c>
      <c r="E124" s="4">
        <v>1084</v>
      </c>
      <c r="F124" s="7" t="s">
        <v>71</v>
      </c>
      <c r="G124" s="7">
        <v>12</v>
      </c>
      <c r="H124" s="7" t="s">
        <v>315</v>
      </c>
      <c r="I124" s="7" t="s">
        <v>316</v>
      </c>
      <c r="J124" s="7">
        <v>12747.84</v>
      </c>
      <c r="K124" s="7" t="s">
        <v>317</v>
      </c>
      <c r="L124" s="7">
        <v>9495.84</v>
      </c>
      <c r="M124" s="1">
        <v>41974</v>
      </c>
      <c r="N124" s="4">
        <v>12</v>
      </c>
      <c r="O124" s="2" t="s">
        <v>41</v>
      </c>
      <c r="P124" s="4">
        <v>2014</v>
      </c>
      <c r="Q124" t="str">
        <f>IF(Table1[[#This Row],[UnitsSold]]&gt;3000,"Large",IF(Table1[[#This Row],[UnitsSold]]&gt;1500,"Midium","Small"))</f>
        <v>Small</v>
      </c>
    </row>
    <row r="125" spans="1:17" x14ac:dyDescent="0.3">
      <c r="A125" s="2" t="s">
        <v>4</v>
      </c>
      <c r="B125" s="2" t="s">
        <v>67</v>
      </c>
      <c r="C125" s="2" t="s">
        <v>101</v>
      </c>
      <c r="D125" s="2" t="s">
        <v>135</v>
      </c>
      <c r="E125" s="4">
        <v>1566</v>
      </c>
      <c r="F125" s="7" t="s">
        <v>102</v>
      </c>
      <c r="G125" s="7">
        <v>20</v>
      </c>
      <c r="H125" s="7" t="s">
        <v>269</v>
      </c>
      <c r="I125" s="7" t="s">
        <v>270</v>
      </c>
      <c r="J125" s="7">
        <v>30693.599999999999</v>
      </c>
      <c r="K125" s="7" t="s">
        <v>271</v>
      </c>
      <c r="L125" s="7">
        <v>15033.6</v>
      </c>
      <c r="M125" s="1">
        <v>41913</v>
      </c>
      <c r="N125" s="4">
        <v>10</v>
      </c>
      <c r="O125" s="2" t="s">
        <v>66</v>
      </c>
      <c r="P125" s="4">
        <v>2014</v>
      </c>
      <c r="Q125" t="str">
        <f>IF(Table1[[#This Row],[UnitsSold]]&gt;3000,"Large",IF(Table1[[#This Row],[UnitsSold]]&gt;1500,"Midium","Small"))</f>
        <v>Midium</v>
      </c>
    </row>
    <row r="126" spans="1:17" x14ac:dyDescent="0.3">
      <c r="A126" s="2" t="s">
        <v>4</v>
      </c>
      <c r="B126" s="2" t="s">
        <v>6</v>
      </c>
      <c r="C126" s="2" t="s">
        <v>101</v>
      </c>
      <c r="D126" s="2" t="s">
        <v>135</v>
      </c>
      <c r="E126" s="4">
        <v>2966</v>
      </c>
      <c r="F126" s="7" t="s">
        <v>102</v>
      </c>
      <c r="G126" s="7">
        <v>350</v>
      </c>
      <c r="H126" s="7" t="s">
        <v>318</v>
      </c>
      <c r="I126" s="7" t="s">
        <v>319</v>
      </c>
      <c r="J126" s="7" t="s">
        <v>1676</v>
      </c>
      <c r="K126" s="7" t="s">
        <v>320</v>
      </c>
      <c r="L126" s="7" t="s">
        <v>1870</v>
      </c>
      <c r="M126" s="1">
        <v>41548</v>
      </c>
      <c r="N126" s="4">
        <v>10</v>
      </c>
      <c r="O126" s="2" t="s">
        <v>66</v>
      </c>
      <c r="P126" s="4">
        <v>2013</v>
      </c>
      <c r="Q126" t="str">
        <f>IF(Table1[[#This Row],[UnitsSold]]&gt;3000,"Large",IF(Table1[[#This Row],[UnitsSold]]&gt;1500,"Midium","Small"))</f>
        <v>Midium</v>
      </c>
    </row>
    <row r="127" spans="1:17" x14ac:dyDescent="0.3">
      <c r="A127" s="2" t="s">
        <v>4</v>
      </c>
      <c r="B127" s="2" t="s">
        <v>6</v>
      </c>
      <c r="C127" s="2" t="s">
        <v>101</v>
      </c>
      <c r="D127" s="2" t="s">
        <v>135</v>
      </c>
      <c r="E127" s="4">
        <v>2877</v>
      </c>
      <c r="F127" s="7" t="s">
        <v>102</v>
      </c>
      <c r="G127" s="7">
        <v>350</v>
      </c>
      <c r="H127" s="7" t="s">
        <v>321</v>
      </c>
      <c r="I127" s="7" t="s">
        <v>322</v>
      </c>
      <c r="J127" s="7" t="s">
        <v>1677</v>
      </c>
      <c r="K127" s="7" t="s">
        <v>323</v>
      </c>
      <c r="L127" s="7" t="s">
        <v>1871</v>
      </c>
      <c r="M127" s="1">
        <v>41913</v>
      </c>
      <c r="N127" s="4">
        <v>10</v>
      </c>
      <c r="O127" s="2" t="s">
        <v>66</v>
      </c>
      <c r="P127" s="4">
        <v>2014</v>
      </c>
      <c r="Q127" t="str">
        <f>IF(Table1[[#This Row],[UnitsSold]]&gt;3000,"Large",IF(Table1[[#This Row],[UnitsSold]]&gt;1500,"Midium","Small"))</f>
        <v>Midium</v>
      </c>
    </row>
    <row r="128" spans="1:17" x14ac:dyDescent="0.3">
      <c r="A128" s="2" t="s">
        <v>10</v>
      </c>
      <c r="B128" s="2" t="s">
        <v>6</v>
      </c>
      <c r="C128" s="2" t="s">
        <v>101</v>
      </c>
      <c r="D128" s="2" t="s">
        <v>135</v>
      </c>
      <c r="E128" s="4">
        <v>809</v>
      </c>
      <c r="F128" s="7" t="s">
        <v>102</v>
      </c>
      <c r="G128" s="7">
        <v>125</v>
      </c>
      <c r="H128" s="7" t="s">
        <v>291</v>
      </c>
      <c r="I128" s="7" t="s">
        <v>292</v>
      </c>
      <c r="J128" s="7">
        <v>99102.5</v>
      </c>
      <c r="K128" s="7" t="s">
        <v>293</v>
      </c>
      <c r="L128" s="7">
        <v>2022.5</v>
      </c>
      <c r="M128" s="1">
        <v>41548</v>
      </c>
      <c r="N128" s="4">
        <v>10</v>
      </c>
      <c r="O128" s="2" t="s">
        <v>66</v>
      </c>
      <c r="P128" s="4">
        <v>2013</v>
      </c>
      <c r="Q128" t="str">
        <f>IF(Table1[[#This Row],[UnitsSold]]&gt;3000,"Large",IF(Table1[[#This Row],[UnitsSold]]&gt;1500,"Midium","Small"))</f>
        <v>Small</v>
      </c>
    </row>
    <row r="129" spans="1:17" x14ac:dyDescent="0.3">
      <c r="A129" s="2" t="s">
        <v>10</v>
      </c>
      <c r="B129" s="2" t="s">
        <v>9</v>
      </c>
      <c r="C129" s="2" t="s">
        <v>101</v>
      </c>
      <c r="D129" s="2" t="s">
        <v>135</v>
      </c>
      <c r="E129" s="4">
        <v>2145</v>
      </c>
      <c r="F129" s="7" t="s">
        <v>102</v>
      </c>
      <c r="G129" s="7">
        <v>125</v>
      </c>
      <c r="H129" s="7" t="s">
        <v>294</v>
      </c>
      <c r="I129" s="7" t="s">
        <v>295</v>
      </c>
      <c r="J129" s="7" t="s">
        <v>1673</v>
      </c>
      <c r="K129" s="7" t="s">
        <v>296</v>
      </c>
      <c r="L129" s="7">
        <v>5362.5</v>
      </c>
      <c r="M129" s="1">
        <v>41548</v>
      </c>
      <c r="N129" s="4">
        <v>10</v>
      </c>
      <c r="O129" s="2" t="s">
        <v>66</v>
      </c>
      <c r="P129" s="4">
        <v>2013</v>
      </c>
      <c r="Q129" t="str">
        <f>IF(Table1[[#This Row],[UnitsSold]]&gt;3000,"Large",IF(Table1[[#This Row],[UnitsSold]]&gt;1500,"Midium","Small"))</f>
        <v>Midium</v>
      </c>
    </row>
    <row r="130" spans="1:17" x14ac:dyDescent="0.3">
      <c r="A130" s="2" t="s">
        <v>47</v>
      </c>
      <c r="B130" s="2" t="s">
        <v>8</v>
      </c>
      <c r="C130" s="2" t="s">
        <v>101</v>
      </c>
      <c r="D130" s="2" t="s">
        <v>135</v>
      </c>
      <c r="E130" s="4">
        <v>1055</v>
      </c>
      <c r="F130" s="7" t="s">
        <v>102</v>
      </c>
      <c r="G130" s="7">
        <v>12</v>
      </c>
      <c r="H130" s="7" t="s">
        <v>312</v>
      </c>
      <c r="I130" s="7" t="s">
        <v>313</v>
      </c>
      <c r="J130" s="7">
        <v>12406.8</v>
      </c>
      <c r="K130" s="7" t="s">
        <v>314</v>
      </c>
      <c r="L130" s="7">
        <v>9241.7999999999993</v>
      </c>
      <c r="M130" s="1">
        <v>41974</v>
      </c>
      <c r="N130" s="4">
        <v>12</v>
      </c>
      <c r="O130" s="2" t="s">
        <v>41</v>
      </c>
      <c r="P130" s="4">
        <v>2014</v>
      </c>
      <c r="Q130" t="str">
        <f>IF(Table1[[#This Row],[UnitsSold]]&gt;3000,"Large",IF(Table1[[#This Row],[UnitsSold]]&gt;1500,"Midium","Small"))</f>
        <v>Small</v>
      </c>
    </row>
    <row r="131" spans="1:17" x14ac:dyDescent="0.3">
      <c r="A131" s="2" t="s">
        <v>4</v>
      </c>
      <c r="B131" s="2" t="s">
        <v>9</v>
      </c>
      <c r="C131" s="2" t="s">
        <v>101</v>
      </c>
      <c r="D131" s="2" t="s">
        <v>135</v>
      </c>
      <c r="E131" s="4">
        <v>544</v>
      </c>
      <c r="F131" s="7" t="s">
        <v>102</v>
      </c>
      <c r="G131" s="7">
        <v>20</v>
      </c>
      <c r="H131" s="7" t="s">
        <v>324</v>
      </c>
      <c r="I131" s="7" t="s">
        <v>325</v>
      </c>
      <c r="J131" s="7">
        <v>10662.4</v>
      </c>
      <c r="K131" s="7" t="s">
        <v>326</v>
      </c>
      <c r="L131" s="7">
        <v>5222.3999999999996</v>
      </c>
      <c r="M131" s="1">
        <v>41609</v>
      </c>
      <c r="N131" s="4">
        <v>12</v>
      </c>
      <c r="O131" s="2" t="s">
        <v>41</v>
      </c>
      <c r="P131" s="4">
        <v>2013</v>
      </c>
      <c r="Q131" t="str">
        <f>IF(Table1[[#This Row],[UnitsSold]]&gt;3000,"Large",IF(Table1[[#This Row],[UnitsSold]]&gt;1500,"Midium","Small"))</f>
        <v>Small</v>
      </c>
    </row>
    <row r="132" spans="1:17" x14ac:dyDescent="0.3">
      <c r="A132" s="2" t="s">
        <v>47</v>
      </c>
      <c r="B132" s="2" t="s">
        <v>9</v>
      </c>
      <c r="C132" s="2" t="s">
        <v>101</v>
      </c>
      <c r="D132" s="2" t="s">
        <v>135</v>
      </c>
      <c r="E132" s="4">
        <v>1084</v>
      </c>
      <c r="F132" s="7" t="s">
        <v>102</v>
      </c>
      <c r="G132" s="7">
        <v>12</v>
      </c>
      <c r="H132" s="7" t="s">
        <v>315</v>
      </c>
      <c r="I132" s="7" t="s">
        <v>316</v>
      </c>
      <c r="J132" s="7">
        <v>12747.84</v>
      </c>
      <c r="K132" s="7" t="s">
        <v>317</v>
      </c>
      <c r="L132" s="7">
        <v>9495.84</v>
      </c>
      <c r="M132" s="1">
        <v>41974</v>
      </c>
      <c r="N132" s="4">
        <v>12</v>
      </c>
      <c r="O132" s="2" t="s">
        <v>41</v>
      </c>
      <c r="P132" s="4">
        <v>2014</v>
      </c>
      <c r="Q132" t="str">
        <f>IF(Table1[[#This Row],[UnitsSold]]&gt;3000,"Large",IF(Table1[[#This Row],[UnitsSold]]&gt;1500,"Midium","Small"))</f>
        <v>Small</v>
      </c>
    </row>
    <row r="133" spans="1:17" x14ac:dyDescent="0.3">
      <c r="A133" s="2" t="s">
        <v>10</v>
      </c>
      <c r="B133" s="2" t="s">
        <v>9</v>
      </c>
      <c r="C133" s="2" t="s">
        <v>111</v>
      </c>
      <c r="D133" s="2" t="s">
        <v>135</v>
      </c>
      <c r="E133" s="4">
        <v>662</v>
      </c>
      <c r="F133" s="7" t="s">
        <v>112</v>
      </c>
      <c r="G133" s="7">
        <v>125</v>
      </c>
      <c r="H133" s="7" t="s">
        <v>288</v>
      </c>
      <c r="I133" s="7" t="s">
        <v>289</v>
      </c>
      <c r="J133" s="7">
        <v>81095</v>
      </c>
      <c r="K133" s="7" t="s">
        <v>290</v>
      </c>
      <c r="L133" s="7">
        <v>1655</v>
      </c>
      <c r="M133" s="1">
        <v>41791</v>
      </c>
      <c r="N133" s="4">
        <v>6</v>
      </c>
      <c r="O133" s="2" t="s">
        <v>34</v>
      </c>
      <c r="P133" s="4">
        <v>2014</v>
      </c>
      <c r="Q133" t="str">
        <f>IF(Table1[[#This Row],[UnitsSold]]&gt;3000,"Large",IF(Table1[[#This Row],[UnitsSold]]&gt;1500,"Midium","Small"))</f>
        <v>Small</v>
      </c>
    </row>
    <row r="134" spans="1:17" x14ac:dyDescent="0.3">
      <c r="A134" s="2" t="s">
        <v>57</v>
      </c>
      <c r="B134" s="2" t="s">
        <v>6</v>
      </c>
      <c r="C134" s="2" t="s">
        <v>111</v>
      </c>
      <c r="D134" s="2" t="s">
        <v>135</v>
      </c>
      <c r="E134" s="4">
        <v>214</v>
      </c>
      <c r="F134" s="7" t="s">
        <v>112</v>
      </c>
      <c r="G134" s="7">
        <v>300</v>
      </c>
      <c r="H134" s="7" t="s">
        <v>257</v>
      </c>
      <c r="I134" s="7" t="s">
        <v>258</v>
      </c>
      <c r="J134" s="7">
        <v>62916</v>
      </c>
      <c r="K134" s="7" t="s">
        <v>259</v>
      </c>
      <c r="L134" s="7">
        <v>9416</v>
      </c>
      <c r="M134" s="1">
        <v>41548</v>
      </c>
      <c r="N134" s="4">
        <v>10</v>
      </c>
      <c r="O134" s="2" t="s">
        <v>66</v>
      </c>
      <c r="P134" s="4">
        <v>2013</v>
      </c>
      <c r="Q134" t="str">
        <f>IF(Table1[[#This Row],[UnitsSold]]&gt;3000,"Large",IF(Table1[[#This Row],[UnitsSold]]&gt;1500,"Midium","Small"))</f>
        <v>Small</v>
      </c>
    </row>
    <row r="135" spans="1:17" x14ac:dyDescent="0.3">
      <c r="A135" s="2" t="s">
        <v>4</v>
      </c>
      <c r="B135" s="2" t="s">
        <v>6</v>
      </c>
      <c r="C135" s="2" t="s">
        <v>111</v>
      </c>
      <c r="D135" s="2" t="s">
        <v>135</v>
      </c>
      <c r="E135" s="4">
        <v>2877</v>
      </c>
      <c r="F135" s="7" t="s">
        <v>112</v>
      </c>
      <c r="G135" s="7">
        <v>350</v>
      </c>
      <c r="H135" s="7" t="s">
        <v>321</v>
      </c>
      <c r="I135" s="7" t="s">
        <v>322</v>
      </c>
      <c r="J135" s="7" t="s">
        <v>1677</v>
      </c>
      <c r="K135" s="7" t="s">
        <v>323</v>
      </c>
      <c r="L135" s="7" t="s">
        <v>1871</v>
      </c>
      <c r="M135" s="1">
        <v>41913</v>
      </c>
      <c r="N135" s="4">
        <v>10</v>
      </c>
      <c r="O135" s="2" t="s">
        <v>66</v>
      </c>
      <c r="P135" s="4">
        <v>2014</v>
      </c>
      <c r="Q135" t="str">
        <f>IF(Table1[[#This Row],[UnitsSold]]&gt;3000,"Large",IF(Table1[[#This Row],[UnitsSold]]&gt;1500,"Midium","Small"))</f>
        <v>Midium</v>
      </c>
    </row>
    <row r="136" spans="1:17" x14ac:dyDescent="0.3">
      <c r="A136" s="2" t="s">
        <v>10</v>
      </c>
      <c r="B136" s="2" t="s">
        <v>5</v>
      </c>
      <c r="C136" s="2" t="s">
        <v>111</v>
      </c>
      <c r="D136" s="2" t="s">
        <v>135</v>
      </c>
      <c r="E136" s="4">
        <v>2729</v>
      </c>
      <c r="F136" s="7" t="s">
        <v>112</v>
      </c>
      <c r="G136" s="7">
        <v>125</v>
      </c>
      <c r="H136" s="7" t="s">
        <v>303</v>
      </c>
      <c r="I136" s="7" t="s">
        <v>304</v>
      </c>
      <c r="J136" s="7" t="s">
        <v>1675</v>
      </c>
      <c r="K136" s="7" t="s">
        <v>305</v>
      </c>
      <c r="L136" s="7">
        <v>6822.5</v>
      </c>
      <c r="M136" s="1">
        <v>41974</v>
      </c>
      <c r="N136" s="4">
        <v>12</v>
      </c>
      <c r="O136" s="2" t="s">
        <v>41</v>
      </c>
      <c r="P136" s="4">
        <v>2014</v>
      </c>
      <c r="Q136" t="str">
        <f>IF(Table1[[#This Row],[UnitsSold]]&gt;3000,"Large",IF(Table1[[#This Row],[UnitsSold]]&gt;1500,"Midium","Small"))</f>
        <v>Midium</v>
      </c>
    </row>
    <row r="137" spans="1:17" x14ac:dyDescent="0.3">
      <c r="A137" s="2" t="s">
        <v>4</v>
      </c>
      <c r="B137" s="2" t="s">
        <v>67</v>
      </c>
      <c r="C137" s="2" t="s">
        <v>111</v>
      </c>
      <c r="D137" s="2" t="s">
        <v>135</v>
      </c>
      <c r="E137" s="4">
        <v>266</v>
      </c>
      <c r="F137" s="7" t="s">
        <v>112</v>
      </c>
      <c r="G137" s="7">
        <v>350</v>
      </c>
      <c r="H137" s="7" t="s">
        <v>327</v>
      </c>
      <c r="I137" s="7" t="s">
        <v>328</v>
      </c>
      <c r="J137" s="7">
        <v>91238</v>
      </c>
      <c r="K137" s="7" t="s">
        <v>329</v>
      </c>
      <c r="L137" s="7">
        <v>22078</v>
      </c>
      <c r="M137" s="1">
        <v>41609</v>
      </c>
      <c r="N137" s="4">
        <v>12</v>
      </c>
      <c r="O137" s="2" t="s">
        <v>41</v>
      </c>
      <c r="P137" s="4">
        <v>2013</v>
      </c>
      <c r="Q137" t="str">
        <f>IF(Table1[[#This Row],[UnitsSold]]&gt;3000,"Large",IF(Table1[[#This Row],[UnitsSold]]&gt;1500,"Midium","Small"))</f>
        <v>Small</v>
      </c>
    </row>
    <row r="138" spans="1:17" x14ac:dyDescent="0.3">
      <c r="A138" s="2" t="s">
        <v>4</v>
      </c>
      <c r="B138" s="2" t="s">
        <v>9</v>
      </c>
      <c r="C138" s="2" t="s">
        <v>111</v>
      </c>
      <c r="D138" s="2" t="s">
        <v>135</v>
      </c>
      <c r="E138" s="4">
        <v>1940</v>
      </c>
      <c r="F138" s="7" t="s">
        <v>112</v>
      </c>
      <c r="G138" s="7">
        <v>350</v>
      </c>
      <c r="H138" s="7" t="s">
        <v>331</v>
      </c>
      <c r="I138" s="7" t="s">
        <v>332</v>
      </c>
      <c r="J138" s="7" t="s">
        <v>1678</v>
      </c>
      <c r="K138" s="7" t="s">
        <v>333</v>
      </c>
      <c r="L138" s="7" t="s">
        <v>1872</v>
      </c>
      <c r="M138" s="1">
        <v>41609</v>
      </c>
      <c r="N138" s="4">
        <v>12</v>
      </c>
      <c r="O138" s="2" t="s">
        <v>41</v>
      </c>
      <c r="P138" s="4">
        <v>2013</v>
      </c>
      <c r="Q138" t="str">
        <f>IF(Table1[[#This Row],[UnitsSold]]&gt;3000,"Large",IF(Table1[[#This Row],[UnitsSold]]&gt;1500,"Midium","Small"))</f>
        <v>Midium</v>
      </c>
    </row>
    <row r="139" spans="1:17" x14ac:dyDescent="0.3">
      <c r="A139" s="2" t="s">
        <v>57</v>
      </c>
      <c r="B139" s="2" t="s">
        <v>6</v>
      </c>
      <c r="C139" s="2" t="s">
        <v>122</v>
      </c>
      <c r="D139" s="2" t="s">
        <v>135</v>
      </c>
      <c r="E139" s="4">
        <v>259</v>
      </c>
      <c r="F139" s="7" t="s">
        <v>123</v>
      </c>
      <c r="G139" s="7">
        <v>300</v>
      </c>
      <c r="H139" s="7" t="s">
        <v>334</v>
      </c>
      <c r="I139" s="7" t="s">
        <v>335</v>
      </c>
      <c r="J139" s="7">
        <v>76146</v>
      </c>
      <c r="K139" s="7" t="s">
        <v>336</v>
      </c>
      <c r="L139" s="7">
        <v>11396</v>
      </c>
      <c r="M139" s="1">
        <v>41699</v>
      </c>
      <c r="N139" s="4">
        <v>3</v>
      </c>
      <c r="O139" s="2" t="s">
        <v>46</v>
      </c>
      <c r="P139" s="4">
        <v>2014</v>
      </c>
      <c r="Q139" t="str">
        <f>IF(Table1[[#This Row],[UnitsSold]]&gt;3000,"Large",IF(Table1[[#This Row],[UnitsSold]]&gt;1500,"Midium","Small"))</f>
        <v>Small</v>
      </c>
    </row>
    <row r="140" spans="1:17" x14ac:dyDescent="0.3">
      <c r="A140" s="2" t="s">
        <v>57</v>
      </c>
      <c r="B140" s="2" t="s">
        <v>9</v>
      </c>
      <c r="C140" s="2" t="s">
        <v>122</v>
      </c>
      <c r="D140" s="2" t="s">
        <v>135</v>
      </c>
      <c r="E140" s="4">
        <v>1101</v>
      </c>
      <c r="F140" s="7" t="s">
        <v>123</v>
      </c>
      <c r="G140" s="7">
        <v>300</v>
      </c>
      <c r="H140" s="7" t="s">
        <v>337</v>
      </c>
      <c r="I140" s="7" t="s">
        <v>338</v>
      </c>
      <c r="J140" s="7" t="s">
        <v>1679</v>
      </c>
      <c r="K140" s="7" t="s">
        <v>339</v>
      </c>
      <c r="L140" s="7">
        <v>48444</v>
      </c>
      <c r="M140" s="1">
        <v>41699</v>
      </c>
      <c r="N140" s="4">
        <v>3</v>
      </c>
      <c r="O140" s="2" t="s">
        <v>46</v>
      </c>
      <c r="P140" s="4">
        <v>2014</v>
      </c>
      <c r="Q140" t="str">
        <f>IF(Table1[[#This Row],[UnitsSold]]&gt;3000,"Large",IF(Table1[[#This Row],[UnitsSold]]&gt;1500,"Midium","Small"))</f>
        <v>Small</v>
      </c>
    </row>
    <row r="141" spans="1:17" x14ac:dyDescent="0.3">
      <c r="A141" s="2" t="s">
        <v>10</v>
      </c>
      <c r="B141" s="2" t="s">
        <v>6</v>
      </c>
      <c r="C141" s="2" t="s">
        <v>122</v>
      </c>
      <c r="D141" s="2" t="s">
        <v>135</v>
      </c>
      <c r="E141" s="4">
        <v>2276</v>
      </c>
      <c r="F141" s="7" t="s">
        <v>123</v>
      </c>
      <c r="G141" s="7">
        <v>125</v>
      </c>
      <c r="H141" s="7" t="s">
        <v>340</v>
      </c>
      <c r="I141" s="7" t="s">
        <v>341</v>
      </c>
      <c r="J141" s="7" t="s">
        <v>1680</v>
      </c>
      <c r="K141" s="7" t="s">
        <v>342</v>
      </c>
      <c r="L141" s="7">
        <v>5690</v>
      </c>
      <c r="M141" s="1">
        <v>41760</v>
      </c>
      <c r="N141" s="4">
        <v>5</v>
      </c>
      <c r="O141" s="2" t="s">
        <v>145</v>
      </c>
      <c r="P141" s="4">
        <v>2014</v>
      </c>
      <c r="Q141" t="str">
        <f>IF(Table1[[#This Row],[UnitsSold]]&gt;3000,"Large",IF(Table1[[#This Row],[UnitsSold]]&gt;1500,"Midium","Small"))</f>
        <v>Midium</v>
      </c>
    </row>
    <row r="142" spans="1:17" x14ac:dyDescent="0.3">
      <c r="A142" s="2" t="s">
        <v>4</v>
      </c>
      <c r="B142" s="2" t="s">
        <v>6</v>
      </c>
      <c r="C142" s="2" t="s">
        <v>122</v>
      </c>
      <c r="D142" s="2" t="s">
        <v>135</v>
      </c>
      <c r="E142" s="4">
        <v>2966</v>
      </c>
      <c r="F142" s="7" t="s">
        <v>123</v>
      </c>
      <c r="G142" s="7">
        <v>350</v>
      </c>
      <c r="H142" s="7" t="s">
        <v>318</v>
      </c>
      <c r="I142" s="7" t="s">
        <v>319</v>
      </c>
      <c r="J142" s="7" t="s">
        <v>1676</v>
      </c>
      <c r="K142" s="7" t="s">
        <v>320</v>
      </c>
      <c r="L142" s="7" t="s">
        <v>1870</v>
      </c>
      <c r="M142" s="1">
        <v>41548</v>
      </c>
      <c r="N142" s="4">
        <v>10</v>
      </c>
      <c r="O142" s="2" t="s">
        <v>66</v>
      </c>
      <c r="P142" s="4">
        <v>2013</v>
      </c>
      <c r="Q142" t="str">
        <f>IF(Table1[[#This Row],[UnitsSold]]&gt;3000,"Large",IF(Table1[[#This Row],[UnitsSold]]&gt;1500,"Midium","Small"))</f>
        <v>Midium</v>
      </c>
    </row>
    <row r="143" spans="1:17" x14ac:dyDescent="0.3">
      <c r="A143" s="2" t="s">
        <v>4</v>
      </c>
      <c r="B143" s="2" t="s">
        <v>67</v>
      </c>
      <c r="C143" s="2" t="s">
        <v>122</v>
      </c>
      <c r="D143" s="2" t="s">
        <v>135</v>
      </c>
      <c r="E143" s="4">
        <v>1236</v>
      </c>
      <c r="F143" s="7" t="s">
        <v>123</v>
      </c>
      <c r="G143" s="7">
        <v>20</v>
      </c>
      <c r="H143" s="7" t="s">
        <v>88</v>
      </c>
      <c r="I143" s="7" t="s">
        <v>343</v>
      </c>
      <c r="J143" s="7">
        <v>24225.599999999999</v>
      </c>
      <c r="K143" s="7" t="s">
        <v>89</v>
      </c>
      <c r="L143" s="7">
        <v>11865.6</v>
      </c>
      <c r="M143" s="1">
        <v>41944</v>
      </c>
      <c r="N143" s="4">
        <v>11</v>
      </c>
      <c r="O143" s="2" t="s">
        <v>94</v>
      </c>
      <c r="P143" s="4">
        <v>2014</v>
      </c>
      <c r="Q143" t="str">
        <f>IF(Table1[[#This Row],[UnitsSold]]&gt;3000,"Large",IF(Table1[[#This Row],[UnitsSold]]&gt;1500,"Midium","Small"))</f>
        <v>Small</v>
      </c>
    </row>
    <row r="144" spans="1:17" x14ac:dyDescent="0.3">
      <c r="A144" s="2" t="s">
        <v>4</v>
      </c>
      <c r="B144" s="2" t="s">
        <v>8</v>
      </c>
      <c r="C144" s="2" t="s">
        <v>122</v>
      </c>
      <c r="D144" s="2" t="s">
        <v>135</v>
      </c>
      <c r="E144" s="4">
        <v>941</v>
      </c>
      <c r="F144" s="7" t="s">
        <v>123</v>
      </c>
      <c r="G144" s="7">
        <v>20</v>
      </c>
      <c r="H144" s="7" t="s">
        <v>344</v>
      </c>
      <c r="I144" s="7" t="s">
        <v>345</v>
      </c>
      <c r="J144" s="7">
        <v>18443.599999999999</v>
      </c>
      <c r="K144" s="7" t="s">
        <v>346</v>
      </c>
      <c r="L144" s="7">
        <v>9033.6</v>
      </c>
      <c r="M144" s="1">
        <v>41944</v>
      </c>
      <c r="N144" s="4">
        <v>11</v>
      </c>
      <c r="O144" s="2" t="s">
        <v>94</v>
      </c>
      <c r="P144" s="4">
        <v>2014</v>
      </c>
      <c r="Q144" t="str">
        <f>IF(Table1[[#This Row],[UnitsSold]]&gt;3000,"Large",IF(Table1[[#This Row],[UnitsSold]]&gt;1500,"Midium","Small"))</f>
        <v>Small</v>
      </c>
    </row>
    <row r="145" spans="1:17" x14ac:dyDescent="0.3">
      <c r="A145" s="2" t="s">
        <v>57</v>
      </c>
      <c r="B145" s="2" t="s">
        <v>5</v>
      </c>
      <c r="C145" s="2" t="s">
        <v>122</v>
      </c>
      <c r="D145" s="2" t="s">
        <v>135</v>
      </c>
      <c r="E145" s="4">
        <v>1916</v>
      </c>
      <c r="F145" s="7" t="s">
        <v>123</v>
      </c>
      <c r="G145" s="7">
        <v>300</v>
      </c>
      <c r="H145" s="7" t="s">
        <v>300</v>
      </c>
      <c r="I145" s="7" t="s">
        <v>301</v>
      </c>
      <c r="J145" s="7" t="s">
        <v>1674</v>
      </c>
      <c r="K145" s="7" t="s">
        <v>302</v>
      </c>
      <c r="L145" s="7">
        <v>84304</v>
      </c>
      <c r="M145" s="1">
        <v>41974</v>
      </c>
      <c r="N145" s="4">
        <v>12</v>
      </c>
      <c r="O145" s="2" t="s">
        <v>41</v>
      </c>
      <c r="P145" s="4">
        <v>2014</v>
      </c>
      <c r="Q145" t="str">
        <f>IF(Table1[[#This Row],[UnitsSold]]&gt;3000,"Large",IF(Table1[[#This Row],[UnitsSold]]&gt;1500,"Midium","Small"))</f>
        <v>Midium</v>
      </c>
    </row>
    <row r="146" spans="1:17" x14ac:dyDescent="0.3">
      <c r="A146" s="2" t="s">
        <v>10</v>
      </c>
      <c r="B146" s="2" t="s">
        <v>8</v>
      </c>
      <c r="C146" s="2" t="s">
        <v>23</v>
      </c>
      <c r="D146" s="2" t="s">
        <v>135</v>
      </c>
      <c r="E146" s="4">
        <v>4243.5</v>
      </c>
      <c r="F146" s="7" t="s">
        <v>25</v>
      </c>
      <c r="G146" s="7">
        <v>125</v>
      </c>
      <c r="H146" s="7" t="s">
        <v>347</v>
      </c>
      <c r="I146" s="7" t="s">
        <v>348</v>
      </c>
      <c r="J146" s="7" t="s">
        <v>1681</v>
      </c>
      <c r="K146" s="7" t="s">
        <v>349</v>
      </c>
      <c r="L146" s="7">
        <v>5304.38</v>
      </c>
      <c r="M146" s="1">
        <v>41730</v>
      </c>
      <c r="N146" s="4">
        <v>4</v>
      </c>
      <c r="O146" s="2" t="s">
        <v>117</v>
      </c>
      <c r="P146" s="4">
        <v>2014</v>
      </c>
      <c r="Q146" t="str">
        <f>IF(Table1[[#This Row],[UnitsSold]]&gt;3000,"Large",IF(Table1[[#This Row],[UnitsSold]]&gt;1500,"Midium","Small"))</f>
        <v>Large</v>
      </c>
    </row>
    <row r="147" spans="1:17" x14ac:dyDescent="0.3">
      <c r="A147" s="2" t="s">
        <v>4</v>
      </c>
      <c r="B147" s="2" t="s">
        <v>6</v>
      </c>
      <c r="C147" s="2" t="s">
        <v>23</v>
      </c>
      <c r="D147" s="2" t="s">
        <v>135</v>
      </c>
      <c r="E147" s="4">
        <v>2580</v>
      </c>
      <c r="F147" s="7" t="s">
        <v>25</v>
      </c>
      <c r="G147" s="7">
        <v>20</v>
      </c>
      <c r="H147" s="7" t="s">
        <v>350</v>
      </c>
      <c r="I147" s="7" t="s">
        <v>351</v>
      </c>
      <c r="J147" s="7">
        <v>50052</v>
      </c>
      <c r="K147" s="7" t="s">
        <v>352</v>
      </c>
      <c r="L147" s="7">
        <v>24252</v>
      </c>
      <c r="M147" s="1">
        <v>41730</v>
      </c>
      <c r="N147" s="4">
        <v>4</v>
      </c>
      <c r="O147" s="2" t="s">
        <v>117</v>
      </c>
      <c r="P147" s="4">
        <v>2014</v>
      </c>
      <c r="Q147" t="str">
        <f>IF(Table1[[#This Row],[UnitsSold]]&gt;3000,"Large",IF(Table1[[#This Row],[UnitsSold]]&gt;1500,"Midium","Small"))</f>
        <v>Midium</v>
      </c>
    </row>
    <row r="148" spans="1:17" x14ac:dyDescent="0.3">
      <c r="A148" s="2" t="s">
        <v>57</v>
      </c>
      <c r="B148" s="2" t="s">
        <v>6</v>
      </c>
      <c r="C148" s="2" t="s">
        <v>23</v>
      </c>
      <c r="D148" s="2" t="s">
        <v>135</v>
      </c>
      <c r="E148" s="4">
        <v>689</v>
      </c>
      <c r="F148" s="7" t="s">
        <v>25</v>
      </c>
      <c r="G148" s="7">
        <v>300</v>
      </c>
      <c r="H148" s="7" t="s">
        <v>354</v>
      </c>
      <c r="I148" s="7" t="s">
        <v>355</v>
      </c>
      <c r="J148" s="7" t="s">
        <v>1682</v>
      </c>
      <c r="K148" s="7" t="s">
        <v>356</v>
      </c>
      <c r="L148" s="7">
        <v>28249</v>
      </c>
      <c r="M148" s="1">
        <v>41791</v>
      </c>
      <c r="N148" s="4">
        <v>6</v>
      </c>
      <c r="O148" s="2" t="s">
        <v>34</v>
      </c>
      <c r="P148" s="4">
        <v>2014</v>
      </c>
      <c r="Q148" t="str">
        <f>IF(Table1[[#This Row],[UnitsSold]]&gt;3000,"Large",IF(Table1[[#This Row],[UnitsSold]]&gt;1500,"Midium","Small"))</f>
        <v>Small</v>
      </c>
    </row>
    <row r="149" spans="1:17" x14ac:dyDescent="0.3">
      <c r="A149" s="2" t="s">
        <v>47</v>
      </c>
      <c r="B149" s="2" t="s">
        <v>67</v>
      </c>
      <c r="C149" s="2" t="s">
        <v>23</v>
      </c>
      <c r="D149" s="2" t="s">
        <v>135</v>
      </c>
      <c r="E149" s="4">
        <v>1947</v>
      </c>
      <c r="F149" s="7" t="s">
        <v>25</v>
      </c>
      <c r="G149" s="7">
        <v>12</v>
      </c>
      <c r="H149" s="7" t="s">
        <v>357</v>
      </c>
      <c r="I149" s="7" t="s">
        <v>358</v>
      </c>
      <c r="J149" s="7">
        <v>22663.08</v>
      </c>
      <c r="K149" s="7" t="s">
        <v>359</v>
      </c>
      <c r="L149" s="7">
        <v>16822.080000000002</v>
      </c>
      <c r="M149" s="1">
        <v>41883</v>
      </c>
      <c r="N149" s="4">
        <v>9</v>
      </c>
      <c r="O149" s="2" t="s">
        <v>63</v>
      </c>
      <c r="P149" s="4">
        <v>2014</v>
      </c>
      <c r="Q149" t="str">
        <f>IF(Table1[[#This Row],[UnitsSold]]&gt;3000,"Large",IF(Table1[[#This Row],[UnitsSold]]&gt;1500,"Midium","Small"))</f>
        <v>Midium</v>
      </c>
    </row>
    <row r="150" spans="1:17" x14ac:dyDescent="0.3">
      <c r="A150" s="2" t="s">
        <v>47</v>
      </c>
      <c r="B150" s="2" t="s">
        <v>5</v>
      </c>
      <c r="C150" s="2" t="s">
        <v>23</v>
      </c>
      <c r="D150" s="2" t="s">
        <v>135</v>
      </c>
      <c r="E150" s="4">
        <v>908</v>
      </c>
      <c r="F150" s="7" t="s">
        <v>25</v>
      </c>
      <c r="G150" s="7">
        <v>12</v>
      </c>
      <c r="H150" s="7" t="s">
        <v>360</v>
      </c>
      <c r="I150" s="7" t="s">
        <v>361</v>
      </c>
      <c r="J150" s="7">
        <v>10569.12</v>
      </c>
      <c r="K150" s="7" t="s">
        <v>362</v>
      </c>
      <c r="L150" s="7">
        <v>7845.12</v>
      </c>
      <c r="M150" s="1">
        <v>41609</v>
      </c>
      <c r="N150" s="4">
        <v>12</v>
      </c>
      <c r="O150" s="2" t="s">
        <v>41</v>
      </c>
      <c r="P150" s="4">
        <v>2013</v>
      </c>
      <c r="Q150" t="str">
        <f>IF(Table1[[#This Row],[UnitsSold]]&gt;3000,"Large",IF(Table1[[#This Row],[UnitsSold]]&gt;1500,"Midium","Small"))</f>
        <v>Small</v>
      </c>
    </row>
    <row r="151" spans="1:17" x14ac:dyDescent="0.3">
      <c r="A151" s="2" t="s">
        <v>4</v>
      </c>
      <c r="B151" s="2" t="s">
        <v>6</v>
      </c>
      <c r="C151" s="2" t="s">
        <v>42</v>
      </c>
      <c r="D151" s="2" t="s">
        <v>135</v>
      </c>
      <c r="E151" s="4">
        <v>1958</v>
      </c>
      <c r="F151" s="7" t="s">
        <v>43</v>
      </c>
      <c r="G151" s="7">
        <v>7</v>
      </c>
      <c r="H151" s="7" t="s">
        <v>363</v>
      </c>
      <c r="I151" s="7" t="s">
        <v>364</v>
      </c>
      <c r="J151" s="7">
        <v>13294.82</v>
      </c>
      <c r="K151" s="7" t="s">
        <v>365</v>
      </c>
      <c r="L151" s="7">
        <v>3504.82</v>
      </c>
      <c r="M151" s="1">
        <v>41671</v>
      </c>
      <c r="N151" s="4">
        <v>2</v>
      </c>
      <c r="O151" s="2" t="s">
        <v>74</v>
      </c>
      <c r="P151" s="4">
        <v>2014</v>
      </c>
      <c r="Q151" t="str">
        <f>IF(Table1[[#This Row],[UnitsSold]]&gt;3000,"Large",IF(Table1[[#This Row],[UnitsSold]]&gt;1500,"Midium","Small"))</f>
        <v>Midium</v>
      </c>
    </row>
    <row r="152" spans="1:17" x14ac:dyDescent="0.3">
      <c r="A152" s="2" t="s">
        <v>47</v>
      </c>
      <c r="B152" s="2" t="s">
        <v>8</v>
      </c>
      <c r="C152" s="2" t="s">
        <v>42</v>
      </c>
      <c r="D152" s="2" t="s">
        <v>135</v>
      </c>
      <c r="E152" s="4">
        <v>1901</v>
      </c>
      <c r="F152" s="7" t="s">
        <v>43</v>
      </c>
      <c r="G152" s="7">
        <v>12</v>
      </c>
      <c r="H152" s="7" t="s">
        <v>366</v>
      </c>
      <c r="I152" s="7" t="s">
        <v>367</v>
      </c>
      <c r="J152" s="7">
        <v>22127.64</v>
      </c>
      <c r="K152" s="7" t="s">
        <v>368</v>
      </c>
      <c r="L152" s="7">
        <v>16424.64</v>
      </c>
      <c r="M152" s="1">
        <v>41791</v>
      </c>
      <c r="N152" s="4">
        <v>6</v>
      </c>
      <c r="O152" s="2" t="s">
        <v>34</v>
      </c>
      <c r="P152" s="4">
        <v>2014</v>
      </c>
      <c r="Q152" t="str">
        <f>IF(Table1[[#This Row],[UnitsSold]]&gt;3000,"Large",IF(Table1[[#This Row],[UnitsSold]]&gt;1500,"Midium","Small"))</f>
        <v>Midium</v>
      </c>
    </row>
    <row r="153" spans="1:17" x14ac:dyDescent="0.3">
      <c r="A153" s="2" t="s">
        <v>4</v>
      </c>
      <c r="B153" s="2" t="s">
        <v>8</v>
      </c>
      <c r="C153" s="2" t="s">
        <v>42</v>
      </c>
      <c r="D153" s="2" t="s">
        <v>135</v>
      </c>
      <c r="E153" s="4">
        <v>544</v>
      </c>
      <c r="F153" s="7" t="s">
        <v>43</v>
      </c>
      <c r="G153" s="7">
        <v>7</v>
      </c>
      <c r="H153" s="7" t="s">
        <v>369</v>
      </c>
      <c r="I153" s="7" t="s">
        <v>370</v>
      </c>
      <c r="J153" s="7">
        <v>3693.76</v>
      </c>
      <c r="K153" s="7" t="s">
        <v>371</v>
      </c>
      <c r="L153" s="7">
        <v>973.76</v>
      </c>
      <c r="M153" s="1">
        <v>41883</v>
      </c>
      <c r="N153" s="4">
        <v>9</v>
      </c>
      <c r="O153" s="2" t="s">
        <v>63</v>
      </c>
      <c r="P153" s="4">
        <v>2014</v>
      </c>
      <c r="Q153" t="str">
        <f>IF(Table1[[#This Row],[UnitsSold]]&gt;3000,"Large",IF(Table1[[#This Row],[UnitsSold]]&gt;1500,"Midium","Small"))</f>
        <v>Small</v>
      </c>
    </row>
    <row r="154" spans="1:17" x14ac:dyDescent="0.3">
      <c r="A154" s="2" t="s">
        <v>4</v>
      </c>
      <c r="B154" s="2" t="s">
        <v>6</v>
      </c>
      <c r="C154" s="2" t="s">
        <v>42</v>
      </c>
      <c r="D154" s="2" t="s">
        <v>135</v>
      </c>
      <c r="E154" s="4">
        <v>1797</v>
      </c>
      <c r="F154" s="7" t="s">
        <v>43</v>
      </c>
      <c r="G154" s="7">
        <v>350</v>
      </c>
      <c r="H154" s="7" t="s">
        <v>372</v>
      </c>
      <c r="I154" s="7" t="s">
        <v>373</v>
      </c>
      <c r="J154" s="7" t="s">
        <v>1683</v>
      </c>
      <c r="K154" s="7" t="s">
        <v>374</v>
      </c>
      <c r="L154" s="7" t="s">
        <v>1873</v>
      </c>
      <c r="M154" s="1">
        <v>41518</v>
      </c>
      <c r="N154" s="4">
        <v>9</v>
      </c>
      <c r="O154" s="2" t="s">
        <v>63</v>
      </c>
      <c r="P154" s="4">
        <v>2013</v>
      </c>
      <c r="Q154" t="str">
        <f>IF(Table1[[#This Row],[UnitsSold]]&gt;3000,"Large",IF(Table1[[#This Row],[UnitsSold]]&gt;1500,"Midium","Small"))</f>
        <v>Midium</v>
      </c>
    </row>
    <row r="155" spans="1:17" x14ac:dyDescent="0.3">
      <c r="A155" s="2" t="s">
        <v>10</v>
      </c>
      <c r="B155" s="2" t="s">
        <v>8</v>
      </c>
      <c r="C155" s="2" t="s">
        <v>42</v>
      </c>
      <c r="D155" s="2" t="s">
        <v>135</v>
      </c>
      <c r="E155" s="4">
        <v>1287</v>
      </c>
      <c r="F155" s="7" t="s">
        <v>43</v>
      </c>
      <c r="G155" s="7">
        <v>125</v>
      </c>
      <c r="H155" s="7" t="s">
        <v>376</v>
      </c>
      <c r="I155" s="7" t="s">
        <v>377</v>
      </c>
      <c r="J155" s="7" t="s">
        <v>1684</v>
      </c>
      <c r="K155" s="7" t="s">
        <v>378</v>
      </c>
      <c r="L155" s="7">
        <v>1608.75</v>
      </c>
      <c r="M155" s="1">
        <v>41974</v>
      </c>
      <c r="N155" s="4">
        <v>12</v>
      </c>
      <c r="O155" s="2" t="s">
        <v>41</v>
      </c>
      <c r="P155" s="4">
        <v>2014</v>
      </c>
      <c r="Q155" t="str">
        <f>IF(Table1[[#This Row],[UnitsSold]]&gt;3000,"Large",IF(Table1[[#This Row],[UnitsSold]]&gt;1500,"Midium","Small"))</f>
        <v>Small</v>
      </c>
    </row>
    <row r="156" spans="1:17" x14ac:dyDescent="0.3">
      <c r="A156" s="2" t="s">
        <v>10</v>
      </c>
      <c r="B156" s="2" t="s">
        <v>6</v>
      </c>
      <c r="C156" s="2" t="s">
        <v>42</v>
      </c>
      <c r="D156" s="2" t="s">
        <v>135</v>
      </c>
      <c r="E156" s="4">
        <v>1706</v>
      </c>
      <c r="F156" s="7" t="s">
        <v>43</v>
      </c>
      <c r="G156" s="7">
        <v>125</v>
      </c>
      <c r="H156" s="7" t="s">
        <v>379</v>
      </c>
      <c r="I156" s="7" t="s">
        <v>380</v>
      </c>
      <c r="J156" s="7" t="s">
        <v>1685</v>
      </c>
      <c r="K156" s="7" t="s">
        <v>381</v>
      </c>
      <c r="L156" s="7">
        <v>2132.5</v>
      </c>
      <c r="M156" s="1">
        <v>41974</v>
      </c>
      <c r="N156" s="4">
        <v>12</v>
      </c>
      <c r="O156" s="2" t="s">
        <v>41</v>
      </c>
      <c r="P156" s="4">
        <v>2014</v>
      </c>
      <c r="Q156" t="str">
        <f>IF(Table1[[#This Row],[UnitsSold]]&gt;3000,"Large",IF(Table1[[#This Row],[UnitsSold]]&gt;1500,"Midium","Small"))</f>
        <v>Midium</v>
      </c>
    </row>
    <row r="157" spans="1:17" x14ac:dyDescent="0.3">
      <c r="A157" s="2" t="s">
        <v>57</v>
      </c>
      <c r="B157" s="2" t="s">
        <v>8</v>
      </c>
      <c r="C157" s="2" t="s">
        <v>70</v>
      </c>
      <c r="D157" s="2" t="s">
        <v>135</v>
      </c>
      <c r="E157" s="4">
        <v>2434.5</v>
      </c>
      <c r="F157" s="7" t="s">
        <v>71</v>
      </c>
      <c r="G157" s="7">
        <v>300</v>
      </c>
      <c r="H157" s="7" t="s">
        <v>382</v>
      </c>
      <c r="I157" s="7" t="s">
        <v>383</v>
      </c>
      <c r="J157" s="7" t="s">
        <v>1686</v>
      </c>
      <c r="K157" s="7" t="s">
        <v>384</v>
      </c>
      <c r="L157" s="7">
        <v>99814.5</v>
      </c>
      <c r="M157" s="1">
        <v>41640</v>
      </c>
      <c r="N157" s="4">
        <v>1</v>
      </c>
      <c r="O157" s="2" t="s">
        <v>29</v>
      </c>
      <c r="P157" s="4">
        <v>2014</v>
      </c>
      <c r="Q157" t="str">
        <f>IF(Table1[[#This Row],[UnitsSold]]&gt;3000,"Large",IF(Table1[[#This Row],[UnitsSold]]&gt;1500,"Midium","Small"))</f>
        <v>Midium</v>
      </c>
    </row>
    <row r="158" spans="1:17" x14ac:dyDescent="0.3">
      <c r="A158" s="2" t="s">
        <v>10</v>
      </c>
      <c r="B158" s="2" t="s">
        <v>5</v>
      </c>
      <c r="C158" s="2" t="s">
        <v>70</v>
      </c>
      <c r="D158" s="2" t="s">
        <v>135</v>
      </c>
      <c r="E158" s="4">
        <v>1774</v>
      </c>
      <c r="F158" s="7" t="s">
        <v>71</v>
      </c>
      <c r="G158" s="7">
        <v>125</v>
      </c>
      <c r="H158" s="7" t="s">
        <v>385</v>
      </c>
      <c r="I158" s="7" t="s">
        <v>386</v>
      </c>
      <c r="J158" s="7" t="s">
        <v>1687</v>
      </c>
      <c r="K158" s="7" t="s">
        <v>387</v>
      </c>
      <c r="L158" s="7">
        <v>2217.5</v>
      </c>
      <c r="M158" s="1">
        <v>41699</v>
      </c>
      <c r="N158" s="4">
        <v>3</v>
      </c>
      <c r="O158" s="2" t="s">
        <v>46</v>
      </c>
      <c r="P158" s="4">
        <v>2014</v>
      </c>
      <c r="Q158" t="str">
        <f>IF(Table1[[#This Row],[UnitsSold]]&gt;3000,"Large",IF(Table1[[#This Row],[UnitsSold]]&gt;1500,"Midium","Small"))</f>
        <v>Midium</v>
      </c>
    </row>
    <row r="159" spans="1:17" x14ac:dyDescent="0.3">
      <c r="A159" s="2" t="s">
        <v>47</v>
      </c>
      <c r="B159" s="2" t="s">
        <v>8</v>
      </c>
      <c r="C159" s="2" t="s">
        <v>70</v>
      </c>
      <c r="D159" s="2" t="s">
        <v>135</v>
      </c>
      <c r="E159" s="4">
        <v>1901</v>
      </c>
      <c r="F159" s="7" t="s">
        <v>71</v>
      </c>
      <c r="G159" s="7">
        <v>12</v>
      </c>
      <c r="H159" s="7" t="s">
        <v>366</v>
      </c>
      <c r="I159" s="7" t="s">
        <v>367</v>
      </c>
      <c r="J159" s="7">
        <v>22127.64</v>
      </c>
      <c r="K159" s="7" t="s">
        <v>368</v>
      </c>
      <c r="L159" s="7">
        <v>16424.64</v>
      </c>
      <c r="M159" s="1">
        <v>41791</v>
      </c>
      <c r="N159" s="4">
        <v>6</v>
      </c>
      <c r="O159" s="2" t="s">
        <v>34</v>
      </c>
      <c r="P159" s="4">
        <v>2014</v>
      </c>
      <c r="Q159" t="str">
        <f>IF(Table1[[#This Row],[UnitsSold]]&gt;3000,"Large",IF(Table1[[#This Row],[UnitsSold]]&gt;1500,"Midium","Small"))</f>
        <v>Midium</v>
      </c>
    </row>
    <row r="160" spans="1:17" x14ac:dyDescent="0.3">
      <c r="A160" s="2" t="s">
        <v>57</v>
      </c>
      <c r="B160" s="2" t="s">
        <v>6</v>
      </c>
      <c r="C160" s="2" t="s">
        <v>70</v>
      </c>
      <c r="D160" s="2" t="s">
        <v>135</v>
      </c>
      <c r="E160" s="4">
        <v>689</v>
      </c>
      <c r="F160" s="7" t="s">
        <v>71</v>
      </c>
      <c r="G160" s="7">
        <v>300</v>
      </c>
      <c r="H160" s="7" t="s">
        <v>354</v>
      </c>
      <c r="I160" s="7" t="s">
        <v>355</v>
      </c>
      <c r="J160" s="7" t="s">
        <v>1682</v>
      </c>
      <c r="K160" s="7" t="s">
        <v>356</v>
      </c>
      <c r="L160" s="7">
        <v>28249</v>
      </c>
      <c r="M160" s="1">
        <v>41791</v>
      </c>
      <c r="N160" s="4">
        <v>6</v>
      </c>
      <c r="O160" s="2" t="s">
        <v>34</v>
      </c>
      <c r="P160" s="4">
        <v>2014</v>
      </c>
      <c r="Q160" t="str">
        <f>IF(Table1[[#This Row],[UnitsSold]]&gt;3000,"Large",IF(Table1[[#This Row],[UnitsSold]]&gt;1500,"Midium","Small"))</f>
        <v>Small</v>
      </c>
    </row>
    <row r="161" spans="1:17" x14ac:dyDescent="0.3">
      <c r="A161" s="2" t="s">
        <v>10</v>
      </c>
      <c r="B161" s="2" t="s">
        <v>6</v>
      </c>
      <c r="C161" s="2" t="s">
        <v>70</v>
      </c>
      <c r="D161" s="2" t="s">
        <v>135</v>
      </c>
      <c r="E161" s="4">
        <v>1570</v>
      </c>
      <c r="F161" s="7" t="s">
        <v>71</v>
      </c>
      <c r="G161" s="7">
        <v>125</v>
      </c>
      <c r="H161" s="7" t="s">
        <v>388</v>
      </c>
      <c r="I161" s="7" t="s">
        <v>389</v>
      </c>
      <c r="J161" s="7" t="s">
        <v>1688</v>
      </c>
      <c r="K161" s="7" t="s">
        <v>390</v>
      </c>
      <c r="L161" s="7">
        <v>1962.5</v>
      </c>
      <c r="M161" s="1">
        <v>41791</v>
      </c>
      <c r="N161" s="4">
        <v>6</v>
      </c>
      <c r="O161" s="2" t="s">
        <v>34</v>
      </c>
      <c r="P161" s="4">
        <v>2014</v>
      </c>
      <c r="Q161" t="str">
        <f>IF(Table1[[#This Row],[UnitsSold]]&gt;3000,"Large",IF(Table1[[#This Row],[UnitsSold]]&gt;1500,"Midium","Small"))</f>
        <v>Midium</v>
      </c>
    </row>
    <row r="162" spans="1:17" x14ac:dyDescent="0.3">
      <c r="A162" s="2" t="s">
        <v>47</v>
      </c>
      <c r="B162" s="2" t="s">
        <v>67</v>
      </c>
      <c r="C162" s="2" t="s">
        <v>70</v>
      </c>
      <c r="D162" s="2" t="s">
        <v>135</v>
      </c>
      <c r="E162" s="4">
        <v>1369.5</v>
      </c>
      <c r="F162" s="7" t="s">
        <v>71</v>
      </c>
      <c r="G162" s="7">
        <v>12</v>
      </c>
      <c r="H162" s="7" t="s">
        <v>391</v>
      </c>
      <c r="I162" s="7" t="s">
        <v>392</v>
      </c>
      <c r="J162" s="7">
        <v>15940.98</v>
      </c>
      <c r="K162" s="7" t="s">
        <v>393</v>
      </c>
      <c r="L162" s="7">
        <v>11832.48</v>
      </c>
      <c r="M162" s="1">
        <v>41821</v>
      </c>
      <c r="N162" s="4">
        <v>7</v>
      </c>
      <c r="O162" s="2" t="s">
        <v>56</v>
      </c>
      <c r="P162" s="4">
        <v>2014</v>
      </c>
      <c r="Q162" t="str">
        <f>IF(Table1[[#This Row],[UnitsSold]]&gt;3000,"Large",IF(Table1[[#This Row],[UnitsSold]]&gt;1500,"Midium","Small"))</f>
        <v>Small</v>
      </c>
    </row>
    <row r="163" spans="1:17" x14ac:dyDescent="0.3">
      <c r="A163" s="2" t="s">
        <v>10</v>
      </c>
      <c r="B163" s="2" t="s">
        <v>5</v>
      </c>
      <c r="C163" s="2" t="s">
        <v>70</v>
      </c>
      <c r="D163" s="2" t="s">
        <v>135</v>
      </c>
      <c r="E163" s="4">
        <v>2009</v>
      </c>
      <c r="F163" s="7" t="s">
        <v>71</v>
      </c>
      <c r="G163" s="7">
        <v>125</v>
      </c>
      <c r="H163" s="7" t="s">
        <v>394</v>
      </c>
      <c r="I163" s="7" t="s">
        <v>395</v>
      </c>
      <c r="J163" s="7" t="s">
        <v>1689</v>
      </c>
      <c r="K163" s="7" t="s">
        <v>396</v>
      </c>
      <c r="L163" s="7">
        <v>2511.25</v>
      </c>
      <c r="M163" s="1">
        <v>41913</v>
      </c>
      <c r="N163" s="4">
        <v>10</v>
      </c>
      <c r="O163" s="2" t="s">
        <v>66</v>
      </c>
      <c r="P163" s="4">
        <v>2014</v>
      </c>
      <c r="Q163" t="str">
        <f>IF(Table1[[#This Row],[UnitsSold]]&gt;3000,"Large",IF(Table1[[#This Row],[UnitsSold]]&gt;1500,"Midium","Small"))</f>
        <v>Midium</v>
      </c>
    </row>
    <row r="164" spans="1:17" x14ac:dyDescent="0.3">
      <c r="A164" s="2" t="s">
        <v>7</v>
      </c>
      <c r="B164" s="2" t="s">
        <v>6</v>
      </c>
      <c r="C164" s="2" t="s">
        <v>70</v>
      </c>
      <c r="D164" s="2" t="s">
        <v>135</v>
      </c>
      <c r="E164" s="4">
        <v>1945</v>
      </c>
      <c r="F164" s="7" t="s">
        <v>71</v>
      </c>
      <c r="G164" s="7">
        <v>15</v>
      </c>
      <c r="H164" s="7" t="s">
        <v>397</v>
      </c>
      <c r="I164" s="7" t="s">
        <v>398</v>
      </c>
      <c r="J164" s="7">
        <v>28299.75</v>
      </c>
      <c r="K164" s="7" t="s">
        <v>399</v>
      </c>
      <c r="L164" s="7">
        <v>8849.75</v>
      </c>
      <c r="M164" s="1">
        <v>41548</v>
      </c>
      <c r="N164" s="4">
        <v>10</v>
      </c>
      <c r="O164" s="2" t="s">
        <v>66</v>
      </c>
      <c r="P164" s="4">
        <v>2013</v>
      </c>
      <c r="Q164" t="str">
        <f>IF(Table1[[#This Row],[UnitsSold]]&gt;3000,"Large",IF(Table1[[#This Row],[UnitsSold]]&gt;1500,"Midium","Small"))</f>
        <v>Midium</v>
      </c>
    </row>
    <row r="165" spans="1:17" x14ac:dyDescent="0.3">
      <c r="A165" s="2" t="s">
        <v>10</v>
      </c>
      <c r="B165" s="2" t="s">
        <v>8</v>
      </c>
      <c r="C165" s="2" t="s">
        <v>70</v>
      </c>
      <c r="D165" s="2" t="s">
        <v>135</v>
      </c>
      <c r="E165" s="4">
        <v>1287</v>
      </c>
      <c r="F165" s="7" t="s">
        <v>71</v>
      </c>
      <c r="G165" s="7">
        <v>125</v>
      </c>
      <c r="H165" s="7" t="s">
        <v>376</v>
      </c>
      <c r="I165" s="7" t="s">
        <v>377</v>
      </c>
      <c r="J165" s="7" t="s">
        <v>1684</v>
      </c>
      <c r="K165" s="7" t="s">
        <v>378</v>
      </c>
      <c r="L165" s="7">
        <v>1608.75</v>
      </c>
      <c r="M165" s="1">
        <v>41974</v>
      </c>
      <c r="N165" s="4">
        <v>12</v>
      </c>
      <c r="O165" s="2" t="s">
        <v>41</v>
      </c>
      <c r="P165" s="4">
        <v>2014</v>
      </c>
      <c r="Q165" t="str">
        <f>IF(Table1[[#This Row],[UnitsSold]]&gt;3000,"Large",IF(Table1[[#This Row],[UnitsSold]]&gt;1500,"Midium","Small"))</f>
        <v>Small</v>
      </c>
    </row>
    <row r="166" spans="1:17" x14ac:dyDescent="0.3">
      <c r="A166" s="2" t="s">
        <v>10</v>
      </c>
      <c r="B166" s="2" t="s">
        <v>6</v>
      </c>
      <c r="C166" s="2" t="s">
        <v>70</v>
      </c>
      <c r="D166" s="2" t="s">
        <v>135</v>
      </c>
      <c r="E166" s="4">
        <v>1706</v>
      </c>
      <c r="F166" s="7" t="s">
        <v>71</v>
      </c>
      <c r="G166" s="7">
        <v>125</v>
      </c>
      <c r="H166" s="7" t="s">
        <v>379</v>
      </c>
      <c r="I166" s="7" t="s">
        <v>380</v>
      </c>
      <c r="J166" s="7" t="s">
        <v>1685</v>
      </c>
      <c r="K166" s="7" t="s">
        <v>381</v>
      </c>
      <c r="L166" s="7">
        <v>2132.5</v>
      </c>
      <c r="M166" s="1">
        <v>41974</v>
      </c>
      <c r="N166" s="4">
        <v>12</v>
      </c>
      <c r="O166" s="2" t="s">
        <v>41</v>
      </c>
      <c r="P166" s="4">
        <v>2014</v>
      </c>
      <c r="Q166" t="str">
        <f>IF(Table1[[#This Row],[UnitsSold]]&gt;3000,"Large",IF(Table1[[#This Row],[UnitsSold]]&gt;1500,"Midium","Small"))</f>
        <v>Midium</v>
      </c>
    </row>
    <row r="167" spans="1:17" x14ac:dyDescent="0.3">
      <c r="A167" s="2" t="s">
        <v>10</v>
      </c>
      <c r="B167" s="2" t="s">
        <v>5</v>
      </c>
      <c r="C167" s="2" t="s">
        <v>101</v>
      </c>
      <c r="D167" s="2" t="s">
        <v>135</v>
      </c>
      <c r="E167" s="4">
        <v>2009</v>
      </c>
      <c r="F167" s="7" t="s">
        <v>102</v>
      </c>
      <c r="G167" s="7">
        <v>125</v>
      </c>
      <c r="H167" s="7" t="s">
        <v>394</v>
      </c>
      <c r="I167" s="7" t="s">
        <v>395</v>
      </c>
      <c r="J167" s="7" t="s">
        <v>1689</v>
      </c>
      <c r="K167" s="7" t="s">
        <v>396</v>
      </c>
      <c r="L167" s="7">
        <v>2511.25</v>
      </c>
      <c r="M167" s="1">
        <v>41913</v>
      </c>
      <c r="N167" s="4">
        <v>10</v>
      </c>
      <c r="O167" s="2" t="s">
        <v>66</v>
      </c>
      <c r="P167" s="4">
        <v>2014</v>
      </c>
      <c r="Q167" t="str">
        <f>IF(Table1[[#This Row],[UnitsSold]]&gt;3000,"Large",IF(Table1[[#This Row],[UnitsSold]]&gt;1500,"Midium","Small"))</f>
        <v>Midium</v>
      </c>
    </row>
    <row r="168" spans="1:17" x14ac:dyDescent="0.3">
      <c r="A168" s="2" t="s">
        <v>57</v>
      </c>
      <c r="B168" s="2" t="s">
        <v>67</v>
      </c>
      <c r="C168" s="2" t="s">
        <v>111</v>
      </c>
      <c r="D168" s="2" t="s">
        <v>135</v>
      </c>
      <c r="E168" s="4">
        <v>2844</v>
      </c>
      <c r="F168" s="7" t="s">
        <v>112</v>
      </c>
      <c r="G168" s="7">
        <v>300</v>
      </c>
      <c r="H168" s="7" t="s">
        <v>400</v>
      </c>
      <c r="I168" s="7" t="s">
        <v>401</v>
      </c>
      <c r="J168" s="7" t="s">
        <v>1690</v>
      </c>
      <c r="K168" s="7" t="s">
        <v>402</v>
      </c>
      <c r="L168" s="7" t="s">
        <v>1874</v>
      </c>
      <c r="M168" s="1">
        <v>41671</v>
      </c>
      <c r="N168" s="4">
        <v>2</v>
      </c>
      <c r="O168" s="2" t="s">
        <v>74</v>
      </c>
      <c r="P168" s="4">
        <v>2014</v>
      </c>
      <c r="Q168" t="str">
        <f>IF(Table1[[#This Row],[UnitsSold]]&gt;3000,"Large",IF(Table1[[#This Row],[UnitsSold]]&gt;1500,"Midium","Small"))</f>
        <v>Midium</v>
      </c>
    </row>
    <row r="169" spans="1:17" x14ac:dyDescent="0.3">
      <c r="A169" s="2" t="s">
        <v>47</v>
      </c>
      <c r="B169" s="2" t="s">
        <v>9</v>
      </c>
      <c r="C169" s="2" t="s">
        <v>111</v>
      </c>
      <c r="D169" s="2" t="s">
        <v>135</v>
      </c>
      <c r="E169" s="4">
        <v>1916</v>
      </c>
      <c r="F169" s="7" t="s">
        <v>112</v>
      </c>
      <c r="G169" s="7">
        <v>12</v>
      </c>
      <c r="H169" s="7" t="s">
        <v>403</v>
      </c>
      <c r="I169" s="7" t="s">
        <v>404</v>
      </c>
      <c r="J169" s="7">
        <v>22302.240000000002</v>
      </c>
      <c r="K169" s="7" t="s">
        <v>405</v>
      </c>
      <c r="L169" s="7">
        <v>16554.240000000002</v>
      </c>
      <c r="M169" s="1">
        <v>41730</v>
      </c>
      <c r="N169" s="4">
        <v>4</v>
      </c>
      <c r="O169" s="2" t="s">
        <v>117</v>
      </c>
      <c r="P169" s="4">
        <v>2014</v>
      </c>
      <c r="Q169" t="str">
        <f>IF(Table1[[#This Row],[UnitsSold]]&gt;3000,"Large",IF(Table1[[#This Row],[UnitsSold]]&gt;1500,"Midium","Small"))</f>
        <v>Midium</v>
      </c>
    </row>
    <row r="170" spans="1:17" x14ac:dyDescent="0.3">
      <c r="A170" s="2" t="s">
        <v>10</v>
      </c>
      <c r="B170" s="2" t="s">
        <v>6</v>
      </c>
      <c r="C170" s="2" t="s">
        <v>111</v>
      </c>
      <c r="D170" s="2" t="s">
        <v>135</v>
      </c>
      <c r="E170" s="4">
        <v>1570</v>
      </c>
      <c r="F170" s="7" t="s">
        <v>112</v>
      </c>
      <c r="G170" s="7">
        <v>125</v>
      </c>
      <c r="H170" s="7" t="s">
        <v>388</v>
      </c>
      <c r="I170" s="7" t="s">
        <v>389</v>
      </c>
      <c r="J170" s="7" t="s">
        <v>1688</v>
      </c>
      <c r="K170" s="7" t="s">
        <v>390</v>
      </c>
      <c r="L170" s="7">
        <v>1962.5</v>
      </c>
      <c r="M170" s="1">
        <v>41791</v>
      </c>
      <c r="N170" s="4">
        <v>6</v>
      </c>
      <c r="O170" s="2" t="s">
        <v>34</v>
      </c>
      <c r="P170" s="4">
        <v>2014</v>
      </c>
      <c r="Q170" t="str">
        <f>IF(Table1[[#This Row],[UnitsSold]]&gt;3000,"Large",IF(Table1[[#This Row],[UnitsSold]]&gt;1500,"Midium","Small"))</f>
        <v>Midium</v>
      </c>
    </row>
    <row r="171" spans="1:17" x14ac:dyDescent="0.3">
      <c r="A171" s="2" t="s">
        <v>57</v>
      </c>
      <c r="B171" s="2" t="s">
        <v>5</v>
      </c>
      <c r="C171" s="2" t="s">
        <v>111</v>
      </c>
      <c r="D171" s="2" t="s">
        <v>135</v>
      </c>
      <c r="E171" s="4">
        <v>1874</v>
      </c>
      <c r="F171" s="7" t="s">
        <v>112</v>
      </c>
      <c r="G171" s="7">
        <v>300</v>
      </c>
      <c r="H171" s="7" t="s">
        <v>406</v>
      </c>
      <c r="I171" s="7" t="s">
        <v>407</v>
      </c>
      <c r="J171" s="7" t="s">
        <v>1691</v>
      </c>
      <c r="K171" s="7" t="s">
        <v>408</v>
      </c>
      <c r="L171" s="7">
        <v>76834</v>
      </c>
      <c r="M171" s="1">
        <v>41852</v>
      </c>
      <c r="N171" s="4">
        <v>8</v>
      </c>
      <c r="O171" s="2" t="s">
        <v>60</v>
      </c>
      <c r="P171" s="4">
        <v>2014</v>
      </c>
      <c r="Q171" t="str">
        <f>IF(Table1[[#This Row],[UnitsSold]]&gt;3000,"Large",IF(Table1[[#This Row],[UnitsSold]]&gt;1500,"Midium","Small"))</f>
        <v>Midium</v>
      </c>
    </row>
    <row r="172" spans="1:17" x14ac:dyDescent="0.3">
      <c r="A172" s="2" t="s">
        <v>4</v>
      </c>
      <c r="B172" s="2" t="s">
        <v>9</v>
      </c>
      <c r="C172" s="2" t="s">
        <v>111</v>
      </c>
      <c r="D172" s="2" t="s">
        <v>135</v>
      </c>
      <c r="E172" s="4">
        <v>1642</v>
      </c>
      <c r="F172" s="7" t="s">
        <v>112</v>
      </c>
      <c r="G172" s="7">
        <v>350</v>
      </c>
      <c r="H172" s="7" t="s">
        <v>409</v>
      </c>
      <c r="I172" s="7" t="s">
        <v>410</v>
      </c>
      <c r="J172" s="7" t="s">
        <v>1692</v>
      </c>
      <c r="K172" s="7" t="s">
        <v>411</v>
      </c>
      <c r="L172" s="7" t="s">
        <v>1875</v>
      </c>
      <c r="M172" s="1">
        <v>41852</v>
      </c>
      <c r="N172" s="4">
        <v>8</v>
      </c>
      <c r="O172" s="2" t="s">
        <v>60</v>
      </c>
      <c r="P172" s="4">
        <v>2014</v>
      </c>
      <c r="Q172" t="str">
        <f>IF(Table1[[#This Row],[UnitsSold]]&gt;3000,"Large",IF(Table1[[#This Row],[UnitsSold]]&gt;1500,"Midium","Small"))</f>
        <v>Midium</v>
      </c>
    </row>
    <row r="173" spans="1:17" x14ac:dyDescent="0.3">
      <c r="A173" s="2" t="s">
        <v>7</v>
      </c>
      <c r="B173" s="2" t="s">
        <v>6</v>
      </c>
      <c r="C173" s="2" t="s">
        <v>111</v>
      </c>
      <c r="D173" s="2" t="s">
        <v>135</v>
      </c>
      <c r="E173" s="4">
        <v>1945</v>
      </c>
      <c r="F173" s="7" t="s">
        <v>112</v>
      </c>
      <c r="G173" s="7">
        <v>15</v>
      </c>
      <c r="H173" s="7" t="s">
        <v>397</v>
      </c>
      <c r="I173" s="7" t="s">
        <v>398</v>
      </c>
      <c r="J173" s="7">
        <v>28299.75</v>
      </c>
      <c r="K173" s="7" t="s">
        <v>399</v>
      </c>
      <c r="L173" s="7">
        <v>8849.75</v>
      </c>
      <c r="M173" s="1">
        <v>41548</v>
      </c>
      <c r="N173" s="4">
        <v>10</v>
      </c>
      <c r="O173" s="2" t="s">
        <v>66</v>
      </c>
      <c r="P173" s="4">
        <v>2013</v>
      </c>
      <c r="Q173" t="str">
        <f>IF(Table1[[#This Row],[UnitsSold]]&gt;3000,"Large",IF(Table1[[#This Row],[UnitsSold]]&gt;1500,"Midium","Small"))</f>
        <v>Midium</v>
      </c>
    </row>
    <row r="174" spans="1:17" x14ac:dyDescent="0.3">
      <c r="A174" s="2" t="s">
        <v>4</v>
      </c>
      <c r="B174" s="2" t="s">
        <v>5</v>
      </c>
      <c r="C174" s="2" t="s">
        <v>23</v>
      </c>
      <c r="D174" s="2" t="s">
        <v>135</v>
      </c>
      <c r="E174" s="4">
        <v>831</v>
      </c>
      <c r="F174" s="7" t="s">
        <v>25</v>
      </c>
      <c r="G174" s="7">
        <v>20</v>
      </c>
      <c r="H174" s="7" t="s">
        <v>412</v>
      </c>
      <c r="I174" s="7" t="s">
        <v>413</v>
      </c>
      <c r="J174" s="7">
        <v>16121.4</v>
      </c>
      <c r="K174" s="7" t="s">
        <v>414</v>
      </c>
      <c r="L174" s="7">
        <v>7811.4</v>
      </c>
      <c r="M174" s="1">
        <v>41760</v>
      </c>
      <c r="N174" s="4">
        <v>5</v>
      </c>
      <c r="O174" s="2" t="s">
        <v>145</v>
      </c>
      <c r="P174" s="4">
        <v>2014</v>
      </c>
      <c r="Q174" t="str">
        <f>IF(Table1[[#This Row],[UnitsSold]]&gt;3000,"Large",IF(Table1[[#This Row],[UnitsSold]]&gt;1500,"Midium","Small"))</f>
        <v>Small</v>
      </c>
    </row>
    <row r="175" spans="1:17" x14ac:dyDescent="0.3">
      <c r="A175" s="2" t="s">
        <v>4</v>
      </c>
      <c r="B175" s="2" t="s">
        <v>9</v>
      </c>
      <c r="C175" s="2" t="s">
        <v>70</v>
      </c>
      <c r="D175" s="2" t="s">
        <v>135</v>
      </c>
      <c r="E175" s="4">
        <v>1760</v>
      </c>
      <c r="F175" s="7" t="s">
        <v>71</v>
      </c>
      <c r="G175" s="7">
        <v>7</v>
      </c>
      <c r="H175" s="7" t="s">
        <v>415</v>
      </c>
      <c r="I175" s="7" t="s">
        <v>416</v>
      </c>
      <c r="J175" s="7">
        <v>11950.4</v>
      </c>
      <c r="K175" s="7" t="s">
        <v>417</v>
      </c>
      <c r="L175" s="7">
        <v>3150.4</v>
      </c>
      <c r="M175" s="1">
        <v>41518</v>
      </c>
      <c r="N175" s="4">
        <v>9</v>
      </c>
      <c r="O175" s="2" t="s">
        <v>63</v>
      </c>
      <c r="P175" s="4">
        <v>2013</v>
      </c>
      <c r="Q175" t="str">
        <f>IF(Table1[[#This Row],[UnitsSold]]&gt;3000,"Large",IF(Table1[[#This Row],[UnitsSold]]&gt;1500,"Midium","Small"))</f>
        <v>Midium</v>
      </c>
    </row>
    <row r="176" spans="1:17" x14ac:dyDescent="0.3">
      <c r="A176" s="2" t="s">
        <v>4</v>
      </c>
      <c r="B176" s="2" t="s">
        <v>5</v>
      </c>
      <c r="C176" s="2" t="s">
        <v>101</v>
      </c>
      <c r="D176" s="2" t="s">
        <v>135</v>
      </c>
      <c r="E176" s="4">
        <v>3850.5</v>
      </c>
      <c r="F176" s="7" t="s">
        <v>102</v>
      </c>
      <c r="G176" s="7">
        <v>20</v>
      </c>
      <c r="H176" s="7" t="s">
        <v>418</v>
      </c>
      <c r="I176" s="7" t="s">
        <v>419</v>
      </c>
      <c r="J176" s="7">
        <v>74699.7</v>
      </c>
      <c r="K176" s="7" t="s">
        <v>420</v>
      </c>
      <c r="L176" s="7">
        <v>36194.699999999997</v>
      </c>
      <c r="M176" s="1">
        <v>41730</v>
      </c>
      <c r="N176" s="4">
        <v>4</v>
      </c>
      <c r="O176" s="2" t="s">
        <v>117</v>
      </c>
      <c r="P176" s="4">
        <v>2014</v>
      </c>
      <c r="Q176" t="str">
        <f>IF(Table1[[#This Row],[UnitsSold]]&gt;3000,"Large",IF(Table1[[#This Row],[UnitsSold]]&gt;1500,"Midium","Small"))</f>
        <v>Large</v>
      </c>
    </row>
    <row r="177" spans="1:17" x14ac:dyDescent="0.3">
      <c r="A177" s="2" t="s">
        <v>47</v>
      </c>
      <c r="B177" s="2" t="s">
        <v>6</v>
      </c>
      <c r="C177" s="2" t="s">
        <v>111</v>
      </c>
      <c r="D177" s="2" t="s">
        <v>135</v>
      </c>
      <c r="E177" s="4">
        <v>2479</v>
      </c>
      <c r="F177" s="7" t="s">
        <v>112</v>
      </c>
      <c r="G177" s="7">
        <v>12</v>
      </c>
      <c r="H177" s="7" t="s">
        <v>421</v>
      </c>
      <c r="I177" s="7" t="s">
        <v>422</v>
      </c>
      <c r="J177" s="7">
        <v>28855.56</v>
      </c>
      <c r="K177" s="7" t="s">
        <v>423</v>
      </c>
      <c r="L177" s="7">
        <v>21418.560000000001</v>
      </c>
      <c r="M177" s="1">
        <v>41640</v>
      </c>
      <c r="N177" s="4">
        <v>1</v>
      </c>
      <c r="O177" s="2" t="s">
        <v>29</v>
      </c>
      <c r="P177" s="4">
        <v>2014</v>
      </c>
      <c r="Q177" t="str">
        <f>IF(Table1[[#This Row],[UnitsSold]]&gt;3000,"Large",IF(Table1[[#This Row],[UnitsSold]]&gt;1500,"Midium","Small"))</f>
        <v>Midium</v>
      </c>
    </row>
    <row r="178" spans="1:17" x14ac:dyDescent="0.3">
      <c r="A178" s="2" t="s">
        <v>7</v>
      </c>
      <c r="B178" s="2" t="s">
        <v>9</v>
      </c>
      <c r="C178" s="2" t="s">
        <v>42</v>
      </c>
      <c r="D178" s="2" t="s">
        <v>135</v>
      </c>
      <c r="E178" s="4">
        <v>2031</v>
      </c>
      <c r="F178" s="7" t="s">
        <v>43</v>
      </c>
      <c r="G178" s="7">
        <v>15</v>
      </c>
      <c r="H178" s="7" t="s">
        <v>424</v>
      </c>
      <c r="I178" s="7" t="s">
        <v>425</v>
      </c>
      <c r="J178" s="7">
        <v>29246.400000000001</v>
      </c>
      <c r="K178" s="7" t="s">
        <v>426</v>
      </c>
      <c r="L178" s="7">
        <v>8936.4</v>
      </c>
      <c r="M178" s="1">
        <v>41913</v>
      </c>
      <c r="N178" s="4">
        <v>10</v>
      </c>
      <c r="O178" s="2" t="s">
        <v>66</v>
      </c>
      <c r="P178" s="4">
        <v>2014</v>
      </c>
      <c r="Q178" t="str">
        <f>IF(Table1[[#This Row],[UnitsSold]]&gt;3000,"Large",IF(Table1[[#This Row],[UnitsSold]]&gt;1500,"Midium","Small"))</f>
        <v>Midium</v>
      </c>
    </row>
    <row r="179" spans="1:17" x14ac:dyDescent="0.3">
      <c r="A179" s="2" t="s">
        <v>7</v>
      </c>
      <c r="B179" s="2" t="s">
        <v>9</v>
      </c>
      <c r="C179" s="2" t="s">
        <v>70</v>
      </c>
      <c r="D179" s="2" t="s">
        <v>135</v>
      </c>
      <c r="E179" s="4">
        <v>2031</v>
      </c>
      <c r="F179" s="7" t="s">
        <v>71</v>
      </c>
      <c r="G179" s="7">
        <v>15</v>
      </c>
      <c r="H179" s="7" t="s">
        <v>424</v>
      </c>
      <c r="I179" s="7" t="s">
        <v>425</v>
      </c>
      <c r="J179" s="7">
        <v>29246.400000000001</v>
      </c>
      <c r="K179" s="7" t="s">
        <v>426</v>
      </c>
      <c r="L179" s="7">
        <v>8936.4</v>
      </c>
      <c r="M179" s="1">
        <v>41913</v>
      </c>
      <c r="N179" s="4">
        <v>10</v>
      </c>
      <c r="O179" s="2" t="s">
        <v>66</v>
      </c>
      <c r="P179" s="4">
        <v>2014</v>
      </c>
      <c r="Q179" t="str">
        <f>IF(Table1[[#This Row],[UnitsSold]]&gt;3000,"Large",IF(Table1[[#This Row],[UnitsSold]]&gt;1500,"Midium","Small"))</f>
        <v>Midium</v>
      </c>
    </row>
    <row r="180" spans="1:17" x14ac:dyDescent="0.3">
      <c r="A180" s="2" t="s">
        <v>7</v>
      </c>
      <c r="B180" s="2" t="s">
        <v>8</v>
      </c>
      <c r="C180" s="2" t="s">
        <v>70</v>
      </c>
      <c r="D180" s="2" t="s">
        <v>135</v>
      </c>
      <c r="E180" s="4">
        <v>2261</v>
      </c>
      <c r="F180" s="7" t="s">
        <v>71</v>
      </c>
      <c r="G180" s="7">
        <v>15</v>
      </c>
      <c r="H180" s="7" t="s">
        <v>427</v>
      </c>
      <c r="I180" s="7" t="s">
        <v>428</v>
      </c>
      <c r="J180" s="7">
        <v>32558.400000000001</v>
      </c>
      <c r="K180" s="7" t="s">
        <v>429</v>
      </c>
      <c r="L180" s="7">
        <v>9948.4</v>
      </c>
      <c r="M180" s="1">
        <v>41609</v>
      </c>
      <c r="N180" s="4">
        <v>12</v>
      </c>
      <c r="O180" s="2" t="s">
        <v>41</v>
      </c>
      <c r="P180" s="4">
        <v>2013</v>
      </c>
      <c r="Q180" t="str">
        <f>IF(Table1[[#This Row],[UnitsSold]]&gt;3000,"Large",IF(Table1[[#This Row],[UnitsSold]]&gt;1500,"Midium","Small"))</f>
        <v>Midium</v>
      </c>
    </row>
    <row r="181" spans="1:17" x14ac:dyDescent="0.3">
      <c r="A181" s="2" t="s">
        <v>4</v>
      </c>
      <c r="B181" s="2" t="s">
        <v>67</v>
      </c>
      <c r="C181" s="2" t="s">
        <v>101</v>
      </c>
      <c r="D181" s="2" t="s">
        <v>135</v>
      </c>
      <c r="E181" s="4">
        <v>736</v>
      </c>
      <c r="F181" s="7" t="s">
        <v>102</v>
      </c>
      <c r="G181" s="7">
        <v>20</v>
      </c>
      <c r="H181" s="7" t="s">
        <v>430</v>
      </c>
      <c r="I181" s="7" t="s">
        <v>431</v>
      </c>
      <c r="J181" s="7">
        <v>14131.2</v>
      </c>
      <c r="K181" s="7" t="s">
        <v>432</v>
      </c>
      <c r="L181" s="7">
        <v>6771.2</v>
      </c>
      <c r="M181" s="1">
        <v>41518</v>
      </c>
      <c r="N181" s="4">
        <v>9</v>
      </c>
      <c r="O181" s="2" t="s">
        <v>63</v>
      </c>
      <c r="P181" s="4">
        <v>2013</v>
      </c>
      <c r="Q181" t="str">
        <f>IF(Table1[[#This Row],[UnitsSold]]&gt;3000,"Large",IF(Table1[[#This Row],[UnitsSold]]&gt;1500,"Midium","Small"))</f>
        <v>Small</v>
      </c>
    </row>
    <row r="182" spans="1:17" x14ac:dyDescent="0.3">
      <c r="A182" s="2" t="s">
        <v>4</v>
      </c>
      <c r="B182" s="2" t="s">
        <v>5</v>
      </c>
      <c r="C182" s="2" t="s">
        <v>23</v>
      </c>
      <c r="D182" s="2" t="s">
        <v>135</v>
      </c>
      <c r="E182" s="4">
        <v>2851</v>
      </c>
      <c r="F182" s="7" t="s">
        <v>25</v>
      </c>
      <c r="G182" s="7">
        <v>7</v>
      </c>
      <c r="H182" s="7" t="s">
        <v>433</v>
      </c>
      <c r="I182" s="7" t="s">
        <v>434</v>
      </c>
      <c r="J182" s="7">
        <v>19158.72</v>
      </c>
      <c r="K182" s="7" t="s">
        <v>435</v>
      </c>
      <c r="L182" s="7">
        <v>4903.72</v>
      </c>
      <c r="M182" s="1">
        <v>41548</v>
      </c>
      <c r="N182" s="4">
        <v>10</v>
      </c>
      <c r="O182" s="2" t="s">
        <v>66</v>
      </c>
      <c r="P182" s="4">
        <v>2013</v>
      </c>
      <c r="Q182" t="str">
        <f>IF(Table1[[#This Row],[UnitsSold]]&gt;3000,"Large",IF(Table1[[#This Row],[UnitsSold]]&gt;1500,"Midium","Small"))</f>
        <v>Midium</v>
      </c>
    </row>
    <row r="183" spans="1:17" x14ac:dyDescent="0.3">
      <c r="A183" s="2" t="s">
        <v>57</v>
      </c>
      <c r="B183" s="2" t="s">
        <v>6</v>
      </c>
      <c r="C183" s="2" t="s">
        <v>23</v>
      </c>
      <c r="D183" s="2" t="s">
        <v>135</v>
      </c>
      <c r="E183" s="4">
        <v>2021</v>
      </c>
      <c r="F183" s="7" t="s">
        <v>25</v>
      </c>
      <c r="G183" s="7">
        <v>300</v>
      </c>
      <c r="H183" s="7" t="s">
        <v>436</v>
      </c>
      <c r="I183" s="7" t="s">
        <v>353</v>
      </c>
      <c r="J183" s="7" t="s">
        <v>1693</v>
      </c>
      <c r="K183" s="7" t="s">
        <v>437</v>
      </c>
      <c r="L183" s="7">
        <v>76798</v>
      </c>
      <c r="M183" s="1">
        <v>41913</v>
      </c>
      <c r="N183" s="4">
        <v>10</v>
      </c>
      <c r="O183" s="2" t="s">
        <v>66</v>
      </c>
      <c r="P183" s="4">
        <v>2014</v>
      </c>
      <c r="Q183" t="str">
        <f>IF(Table1[[#This Row],[UnitsSold]]&gt;3000,"Large",IF(Table1[[#This Row],[UnitsSold]]&gt;1500,"Midium","Small"))</f>
        <v>Midium</v>
      </c>
    </row>
    <row r="184" spans="1:17" x14ac:dyDescent="0.3">
      <c r="A184" s="2" t="s">
        <v>4</v>
      </c>
      <c r="B184" s="2" t="s">
        <v>67</v>
      </c>
      <c r="C184" s="2" t="s">
        <v>23</v>
      </c>
      <c r="D184" s="2" t="s">
        <v>135</v>
      </c>
      <c r="E184" s="4">
        <v>274</v>
      </c>
      <c r="F184" s="7" t="s">
        <v>25</v>
      </c>
      <c r="G184" s="7">
        <v>350</v>
      </c>
      <c r="H184" s="7" t="s">
        <v>438</v>
      </c>
      <c r="I184" s="7" t="s">
        <v>439</v>
      </c>
      <c r="J184" s="7">
        <v>92064</v>
      </c>
      <c r="K184" s="7" t="s">
        <v>440</v>
      </c>
      <c r="L184" s="7">
        <v>20824</v>
      </c>
      <c r="M184" s="1">
        <v>41974</v>
      </c>
      <c r="N184" s="4">
        <v>12</v>
      </c>
      <c r="O184" s="2" t="s">
        <v>41</v>
      </c>
      <c r="P184" s="4">
        <v>2014</v>
      </c>
      <c r="Q184" t="str">
        <f>IF(Table1[[#This Row],[UnitsSold]]&gt;3000,"Large",IF(Table1[[#This Row],[UnitsSold]]&gt;1500,"Midium","Small"))</f>
        <v>Small</v>
      </c>
    </row>
    <row r="185" spans="1:17" x14ac:dyDescent="0.3">
      <c r="A185" s="2" t="s">
        <v>7</v>
      </c>
      <c r="B185" s="2" t="s">
        <v>5</v>
      </c>
      <c r="C185" s="2" t="s">
        <v>42</v>
      </c>
      <c r="D185" s="2" t="s">
        <v>135</v>
      </c>
      <c r="E185" s="4">
        <v>1967</v>
      </c>
      <c r="F185" s="7" t="s">
        <v>43</v>
      </c>
      <c r="G185" s="7">
        <v>15</v>
      </c>
      <c r="H185" s="7" t="s">
        <v>441</v>
      </c>
      <c r="I185" s="7" t="s">
        <v>442</v>
      </c>
      <c r="J185" s="7">
        <v>28324.799999999999</v>
      </c>
      <c r="K185" s="7" t="s">
        <v>443</v>
      </c>
      <c r="L185" s="7">
        <v>8654.7999999999993</v>
      </c>
      <c r="M185" s="1">
        <v>41699</v>
      </c>
      <c r="N185" s="4">
        <v>3</v>
      </c>
      <c r="O185" s="2" t="s">
        <v>46</v>
      </c>
      <c r="P185" s="4">
        <v>2014</v>
      </c>
      <c r="Q185" t="str">
        <f>IF(Table1[[#This Row],[UnitsSold]]&gt;3000,"Large",IF(Table1[[#This Row],[UnitsSold]]&gt;1500,"Midium","Small"))</f>
        <v>Midium</v>
      </c>
    </row>
    <row r="186" spans="1:17" x14ac:dyDescent="0.3">
      <c r="A186" s="2" t="s">
        <v>57</v>
      </c>
      <c r="B186" s="2" t="s">
        <v>6</v>
      </c>
      <c r="C186" s="2" t="s">
        <v>42</v>
      </c>
      <c r="D186" s="2" t="s">
        <v>135</v>
      </c>
      <c r="E186" s="4">
        <v>1859</v>
      </c>
      <c r="F186" s="7" t="s">
        <v>43</v>
      </c>
      <c r="G186" s="7">
        <v>300</v>
      </c>
      <c r="H186" s="7" t="s">
        <v>444</v>
      </c>
      <c r="I186" s="7" t="s">
        <v>445</v>
      </c>
      <c r="J186" s="7" t="s">
        <v>1694</v>
      </c>
      <c r="K186" s="7" t="s">
        <v>446</v>
      </c>
      <c r="L186" s="7">
        <v>70642</v>
      </c>
      <c r="M186" s="1">
        <v>41852</v>
      </c>
      <c r="N186" s="4">
        <v>8</v>
      </c>
      <c r="O186" s="2" t="s">
        <v>60</v>
      </c>
      <c r="P186" s="4">
        <v>2014</v>
      </c>
      <c r="Q186" t="str">
        <f>IF(Table1[[#This Row],[UnitsSold]]&gt;3000,"Large",IF(Table1[[#This Row],[UnitsSold]]&gt;1500,"Midium","Small"))</f>
        <v>Midium</v>
      </c>
    </row>
    <row r="187" spans="1:17" x14ac:dyDescent="0.3">
      <c r="A187" s="2" t="s">
        <v>4</v>
      </c>
      <c r="B187" s="2" t="s">
        <v>5</v>
      </c>
      <c r="C187" s="2" t="s">
        <v>42</v>
      </c>
      <c r="D187" s="2" t="s">
        <v>135</v>
      </c>
      <c r="E187" s="4">
        <v>2851</v>
      </c>
      <c r="F187" s="7" t="s">
        <v>43</v>
      </c>
      <c r="G187" s="7">
        <v>7</v>
      </c>
      <c r="H187" s="7" t="s">
        <v>433</v>
      </c>
      <c r="I187" s="7" t="s">
        <v>434</v>
      </c>
      <c r="J187" s="7">
        <v>19158.72</v>
      </c>
      <c r="K187" s="7" t="s">
        <v>435</v>
      </c>
      <c r="L187" s="7">
        <v>4903.72</v>
      </c>
      <c r="M187" s="1">
        <v>41548</v>
      </c>
      <c r="N187" s="4">
        <v>10</v>
      </c>
      <c r="O187" s="2" t="s">
        <v>66</v>
      </c>
      <c r="P187" s="4">
        <v>2013</v>
      </c>
      <c r="Q187" t="str">
        <f>IF(Table1[[#This Row],[UnitsSold]]&gt;3000,"Large",IF(Table1[[#This Row],[UnitsSold]]&gt;1500,"Midium","Small"))</f>
        <v>Midium</v>
      </c>
    </row>
    <row r="188" spans="1:17" x14ac:dyDescent="0.3">
      <c r="A188" s="2" t="s">
        <v>57</v>
      </c>
      <c r="B188" s="2" t="s">
        <v>6</v>
      </c>
      <c r="C188" s="2" t="s">
        <v>42</v>
      </c>
      <c r="D188" s="2" t="s">
        <v>135</v>
      </c>
      <c r="E188" s="4">
        <v>2021</v>
      </c>
      <c r="F188" s="7" t="s">
        <v>43</v>
      </c>
      <c r="G188" s="7">
        <v>300</v>
      </c>
      <c r="H188" s="7" t="s">
        <v>436</v>
      </c>
      <c r="I188" s="7" t="s">
        <v>353</v>
      </c>
      <c r="J188" s="7" t="s">
        <v>1693</v>
      </c>
      <c r="K188" s="7" t="s">
        <v>437</v>
      </c>
      <c r="L188" s="7">
        <v>76798</v>
      </c>
      <c r="M188" s="1">
        <v>41913</v>
      </c>
      <c r="N188" s="4">
        <v>10</v>
      </c>
      <c r="O188" s="2" t="s">
        <v>66</v>
      </c>
      <c r="P188" s="4">
        <v>2014</v>
      </c>
      <c r="Q188" t="str">
        <f>IF(Table1[[#This Row],[UnitsSold]]&gt;3000,"Large",IF(Table1[[#This Row],[UnitsSold]]&gt;1500,"Midium","Small"))</f>
        <v>Midium</v>
      </c>
    </row>
    <row r="189" spans="1:17" x14ac:dyDescent="0.3">
      <c r="A189" s="2" t="s">
        <v>10</v>
      </c>
      <c r="B189" s="2" t="s">
        <v>9</v>
      </c>
      <c r="C189" s="2" t="s">
        <v>42</v>
      </c>
      <c r="D189" s="2" t="s">
        <v>135</v>
      </c>
      <c r="E189" s="4">
        <v>1138</v>
      </c>
      <c r="F189" s="7" t="s">
        <v>43</v>
      </c>
      <c r="G189" s="7">
        <v>125</v>
      </c>
      <c r="H189" s="7" t="s">
        <v>447</v>
      </c>
      <c r="I189" s="7" t="s">
        <v>341</v>
      </c>
      <c r="J189" s="7" t="s">
        <v>1695</v>
      </c>
      <c r="K189" s="7" t="s">
        <v>448</v>
      </c>
      <c r="M189" s="1">
        <v>41974</v>
      </c>
      <c r="N189" s="4">
        <v>12</v>
      </c>
      <c r="O189" s="2" t="s">
        <v>41</v>
      </c>
      <c r="P189" s="4">
        <v>2014</v>
      </c>
      <c r="Q189" t="str">
        <f>IF(Table1[[#This Row],[UnitsSold]]&gt;3000,"Large",IF(Table1[[#This Row],[UnitsSold]]&gt;1500,"Midium","Small"))</f>
        <v>Small</v>
      </c>
    </row>
    <row r="190" spans="1:17" x14ac:dyDescent="0.3">
      <c r="A190" s="2" t="s">
        <v>4</v>
      </c>
      <c r="B190" s="2" t="s">
        <v>5</v>
      </c>
      <c r="C190" s="2" t="s">
        <v>70</v>
      </c>
      <c r="D190" s="2" t="s">
        <v>135</v>
      </c>
      <c r="E190" s="4">
        <v>4251</v>
      </c>
      <c r="F190" s="7" t="s">
        <v>71</v>
      </c>
      <c r="G190" s="7">
        <v>7</v>
      </c>
      <c r="H190" s="7" t="s">
        <v>449</v>
      </c>
      <c r="I190" s="7" t="s">
        <v>450</v>
      </c>
      <c r="J190" s="7">
        <v>28566.720000000001</v>
      </c>
      <c r="K190" s="7" t="s">
        <v>451</v>
      </c>
      <c r="L190" s="7">
        <v>7311.72</v>
      </c>
      <c r="M190" s="1">
        <v>41640</v>
      </c>
      <c r="N190" s="4">
        <v>1</v>
      </c>
      <c r="O190" s="2" t="s">
        <v>29</v>
      </c>
      <c r="P190" s="4">
        <v>2014</v>
      </c>
      <c r="Q190" t="str">
        <f>IF(Table1[[#This Row],[UnitsSold]]&gt;3000,"Large",IF(Table1[[#This Row],[UnitsSold]]&gt;1500,"Midium","Small"))</f>
        <v>Large</v>
      </c>
    </row>
    <row r="191" spans="1:17" x14ac:dyDescent="0.3">
      <c r="A191" s="2" t="s">
        <v>10</v>
      </c>
      <c r="B191" s="2" t="s">
        <v>6</v>
      </c>
      <c r="C191" s="2" t="s">
        <v>70</v>
      </c>
      <c r="D191" s="2" t="s">
        <v>135</v>
      </c>
      <c r="E191" s="4">
        <v>795</v>
      </c>
      <c r="F191" s="7" t="s">
        <v>71</v>
      </c>
      <c r="G191" s="7">
        <v>125</v>
      </c>
      <c r="H191" s="7" t="s">
        <v>452</v>
      </c>
      <c r="I191" s="7" t="s">
        <v>453</v>
      </c>
      <c r="J191" s="7">
        <v>95400</v>
      </c>
      <c r="K191" s="7" t="s">
        <v>454</v>
      </c>
      <c r="M191" s="1">
        <v>41699</v>
      </c>
      <c r="N191" s="4">
        <v>3</v>
      </c>
      <c r="O191" s="2" t="s">
        <v>46</v>
      </c>
      <c r="P191" s="4">
        <v>2014</v>
      </c>
      <c r="Q191" t="str">
        <f>IF(Table1[[#This Row],[UnitsSold]]&gt;3000,"Large",IF(Table1[[#This Row],[UnitsSold]]&gt;1500,"Midium","Small"))</f>
        <v>Small</v>
      </c>
    </row>
    <row r="192" spans="1:17" x14ac:dyDescent="0.3">
      <c r="A192" s="2" t="s">
        <v>57</v>
      </c>
      <c r="B192" s="2" t="s">
        <v>6</v>
      </c>
      <c r="C192" s="2" t="s">
        <v>70</v>
      </c>
      <c r="D192" s="2" t="s">
        <v>135</v>
      </c>
      <c r="E192" s="4">
        <v>1414.5</v>
      </c>
      <c r="F192" s="7" t="s">
        <v>71</v>
      </c>
      <c r="G192" s="7">
        <v>300</v>
      </c>
      <c r="H192" s="7" t="s">
        <v>455</v>
      </c>
      <c r="I192" s="7" t="s">
        <v>456</v>
      </c>
      <c r="J192" s="7" t="s">
        <v>1696</v>
      </c>
      <c r="K192" s="7" t="s">
        <v>457</v>
      </c>
      <c r="L192" s="7">
        <v>53751</v>
      </c>
      <c r="M192" s="1">
        <v>41730</v>
      </c>
      <c r="N192" s="4">
        <v>4</v>
      </c>
      <c r="O192" s="2" t="s">
        <v>117</v>
      </c>
      <c r="P192" s="4">
        <v>2014</v>
      </c>
      <c r="Q192" t="str">
        <f>IF(Table1[[#This Row],[UnitsSold]]&gt;3000,"Large",IF(Table1[[#This Row],[UnitsSold]]&gt;1500,"Midium","Small"))</f>
        <v>Small</v>
      </c>
    </row>
    <row r="193" spans="1:17" x14ac:dyDescent="0.3">
      <c r="A193" s="2" t="s">
        <v>57</v>
      </c>
      <c r="B193" s="2" t="s">
        <v>67</v>
      </c>
      <c r="C193" s="2" t="s">
        <v>70</v>
      </c>
      <c r="D193" s="2" t="s">
        <v>135</v>
      </c>
      <c r="E193" s="4">
        <v>2918</v>
      </c>
      <c r="F193" s="7" t="s">
        <v>71</v>
      </c>
      <c r="G193" s="7">
        <v>300</v>
      </c>
      <c r="H193" s="7" t="s">
        <v>458</v>
      </c>
      <c r="I193" s="7" t="s">
        <v>459</v>
      </c>
      <c r="J193" s="7" t="s">
        <v>1697</v>
      </c>
      <c r="K193" s="7" t="s">
        <v>460</v>
      </c>
      <c r="L193" s="7" t="s">
        <v>1876</v>
      </c>
      <c r="M193" s="1">
        <v>41760</v>
      </c>
      <c r="N193" s="4">
        <v>5</v>
      </c>
      <c r="O193" s="2" t="s">
        <v>145</v>
      </c>
      <c r="P193" s="4">
        <v>2014</v>
      </c>
      <c r="Q193" t="str">
        <f>IF(Table1[[#This Row],[UnitsSold]]&gt;3000,"Large",IF(Table1[[#This Row],[UnitsSold]]&gt;1500,"Midium","Small"))</f>
        <v>Midium</v>
      </c>
    </row>
    <row r="194" spans="1:17" x14ac:dyDescent="0.3">
      <c r="A194" s="2" t="s">
        <v>4</v>
      </c>
      <c r="B194" s="2" t="s">
        <v>67</v>
      </c>
      <c r="C194" s="2" t="s">
        <v>70</v>
      </c>
      <c r="D194" s="2" t="s">
        <v>135</v>
      </c>
      <c r="E194" s="4">
        <v>3450</v>
      </c>
      <c r="F194" s="7" t="s">
        <v>71</v>
      </c>
      <c r="G194" s="7">
        <v>350</v>
      </c>
      <c r="H194" s="7" t="s">
        <v>461</v>
      </c>
      <c r="I194" s="7" t="s">
        <v>462</v>
      </c>
      <c r="J194" s="7" t="s">
        <v>1698</v>
      </c>
      <c r="K194" s="7" t="s">
        <v>463</v>
      </c>
      <c r="L194" s="7" t="s">
        <v>1877</v>
      </c>
      <c r="M194" s="1">
        <v>41821</v>
      </c>
      <c r="N194" s="4">
        <v>7</v>
      </c>
      <c r="O194" s="2" t="s">
        <v>56</v>
      </c>
      <c r="P194" s="4">
        <v>2014</v>
      </c>
      <c r="Q194" t="str">
        <f>IF(Table1[[#This Row],[UnitsSold]]&gt;3000,"Large",IF(Table1[[#This Row],[UnitsSold]]&gt;1500,"Midium","Small"))</f>
        <v>Large</v>
      </c>
    </row>
    <row r="195" spans="1:17" x14ac:dyDescent="0.3">
      <c r="A195" s="2" t="s">
        <v>10</v>
      </c>
      <c r="B195" s="2" t="s">
        <v>8</v>
      </c>
      <c r="C195" s="2" t="s">
        <v>70</v>
      </c>
      <c r="D195" s="2" t="s">
        <v>135</v>
      </c>
      <c r="E195" s="4">
        <v>2988</v>
      </c>
      <c r="F195" s="7" t="s">
        <v>71</v>
      </c>
      <c r="G195" s="7">
        <v>125</v>
      </c>
      <c r="H195" s="7" t="s">
        <v>464</v>
      </c>
      <c r="I195" s="7" t="s">
        <v>465</v>
      </c>
      <c r="J195" s="7" t="s">
        <v>1699</v>
      </c>
      <c r="K195" s="7" t="s">
        <v>466</v>
      </c>
      <c r="M195" s="1">
        <v>41821</v>
      </c>
      <c r="N195" s="4">
        <v>7</v>
      </c>
      <c r="O195" s="2" t="s">
        <v>56</v>
      </c>
      <c r="P195" s="4">
        <v>2014</v>
      </c>
      <c r="Q195" t="str">
        <f>IF(Table1[[#This Row],[UnitsSold]]&gt;3000,"Large",IF(Table1[[#This Row],[UnitsSold]]&gt;1500,"Midium","Small"))</f>
        <v>Midium</v>
      </c>
    </row>
    <row r="196" spans="1:17" x14ac:dyDescent="0.3">
      <c r="A196" s="2" t="s">
        <v>7</v>
      </c>
      <c r="B196" s="2" t="s">
        <v>5</v>
      </c>
      <c r="C196" s="2" t="s">
        <v>70</v>
      </c>
      <c r="D196" s="2" t="s">
        <v>135</v>
      </c>
      <c r="E196" s="4">
        <v>218</v>
      </c>
      <c r="F196" s="7" t="s">
        <v>71</v>
      </c>
      <c r="G196" s="7">
        <v>15</v>
      </c>
      <c r="H196" s="7" t="s">
        <v>467</v>
      </c>
      <c r="I196" s="7" t="s">
        <v>468</v>
      </c>
      <c r="J196" s="7">
        <v>3139.2</v>
      </c>
      <c r="K196" s="7" t="s">
        <v>243</v>
      </c>
      <c r="L196" s="7">
        <v>959.2</v>
      </c>
      <c r="M196" s="1">
        <v>41883</v>
      </c>
      <c r="N196" s="4">
        <v>9</v>
      </c>
      <c r="O196" s="2" t="s">
        <v>63</v>
      </c>
      <c r="P196" s="4">
        <v>2014</v>
      </c>
      <c r="Q196" t="str">
        <f>IF(Table1[[#This Row],[UnitsSold]]&gt;3000,"Large",IF(Table1[[#This Row],[UnitsSold]]&gt;1500,"Midium","Small"))</f>
        <v>Small</v>
      </c>
    </row>
    <row r="197" spans="1:17" x14ac:dyDescent="0.3">
      <c r="A197" s="2" t="s">
        <v>4</v>
      </c>
      <c r="B197" s="2" t="s">
        <v>5</v>
      </c>
      <c r="C197" s="2" t="s">
        <v>70</v>
      </c>
      <c r="D197" s="2" t="s">
        <v>135</v>
      </c>
      <c r="E197" s="4">
        <v>2074</v>
      </c>
      <c r="F197" s="7" t="s">
        <v>71</v>
      </c>
      <c r="G197" s="7">
        <v>20</v>
      </c>
      <c r="H197" s="7" t="s">
        <v>469</v>
      </c>
      <c r="I197" s="7" t="s">
        <v>470</v>
      </c>
      <c r="J197" s="7">
        <v>39820.800000000003</v>
      </c>
      <c r="K197" s="7" t="s">
        <v>471</v>
      </c>
      <c r="L197" s="7">
        <v>19080.8</v>
      </c>
      <c r="M197" s="1">
        <v>41883</v>
      </c>
      <c r="N197" s="4">
        <v>9</v>
      </c>
      <c r="O197" s="2" t="s">
        <v>63</v>
      </c>
      <c r="P197" s="4">
        <v>2014</v>
      </c>
      <c r="Q197" t="str">
        <f>IF(Table1[[#This Row],[UnitsSold]]&gt;3000,"Large",IF(Table1[[#This Row],[UnitsSold]]&gt;1500,"Midium","Small"))</f>
        <v>Midium</v>
      </c>
    </row>
    <row r="198" spans="1:17" x14ac:dyDescent="0.3">
      <c r="A198" s="2" t="s">
        <v>4</v>
      </c>
      <c r="B198" s="2" t="s">
        <v>67</v>
      </c>
      <c r="C198" s="2" t="s">
        <v>70</v>
      </c>
      <c r="D198" s="2" t="s">
        <v>135</v>
      </c>
      <c r="E198" s="4">
        <v>1056</v>
      </c>
      <c r="F198" s="7" t="s">
        <v>71</v>
      </c>
      <c r="G198" s="7">
        <v>20</v>
      </c>
      <c r="H198" s="7" t="s">
        <v>472</v>
      </c>
      <c r="I198" s="7" t="s">
        <v>473</v>
      </c>
      <c r="J198" s="7">
        <v>20275.2</v>
      </c>
      <c r="K198" s="7" t="s">
        <v>474</v>
      </c>
      <c r="L198" s="7">
        <v>9715.2000000000007</v>
      </c>
      <c r="M198" s="1">
        <v>41883</v>
      </c>
      <c r="N198" s="4">
        <v>9</v>
      </c>
      <c r="O198" s="2" t="s">
        <v>63</v>
      </c>
      <c r="P198" s="4">
        <v>2014</v>
      </c>
      <c r="Q198" t="str">
        <f>IF(Table1[[#This Row],[UnitsSold]]&gt;3000,"Large",IF(Table1[[#This Row],[UnitsSold]]&gt;1500,"Midium","Small"))</f>
        <v>Small</v>
      </c>
    </row>
    <row r="199" spans="1:17" x14ac:dyDescent="0.3">
      <c r="A199" s="2" t="s">
        <v>7</v>
      </c>
      <c r="B199" s="2" t="s">
        <v>67</v>
      </c>
      <c r="C199" s="2" t="s">
        <v>70</v>
      </c>
      <c r="D199" s="2" t="s">
        <v>135</v>
      </c>
      <c r="E199" s="4">
        <v>671</v>
      </c>
      <c r="F199" s="7" t="s">
        <v>71</v>
      </c>
      <c r="G199" s="7">
        <v>15</v>
      </c>
      <c r="H199" s="7" t="s">
        <v>311</v>
      </c>
      <c r="I199" s="7" t="s">
        <v>475</v>
      </c>
      <c r="J199" s="7">
        <v>9662.4</v>
      </c>
      <c r="K199" s="7" t="s">
        <v>476</v>
      </c>
      <c r="L199" s="7">
        <v>2952.4</v>
      </c>
      <c r="M199" s="1">
        <v>41548</v>
      </c>
      <c r="N199" s="4">
        <v>10</v>
      </c>
      <c r="O199" s="2" t="s">
        <v>66</v>
      </c>
      <c r="P199" s="4">
        <v>2013</v>
      </c>
      <c r="Q199" t="str">
        <f>IF(Table1[[#This Row],[UnitsSold]]&gt;3000,"Large",IF(Table1[[#This Row],[UnitsSold]]&gt;1500,"Midium","Small"))</f>
        <v>Small</v>
      </c>
    </row>
    <row r="200" spans="1:17" x14ac:dyDescent="0.3">
      <c r="A200" s="2" t="s">
        <v>7</v>
      </c>
      <c r="B200" s="2" t="s">
        <v>9</v>
      </c>
      <c r="C200" s="2" t="s">
        <v>70</v>
      </c>
      <c r="D200" s="2" t="s">
        <v>135</v>
      </c>
      <c r="E200" s="4">
        <v>1514</v>
      </c>
      <c r="F200" s="7" t="s">
        <v>71</v>
      </c>
      <c r="G200" s="7">
        <v>15</v>
      </c>
      <c r="H200" s="7" t="s">
        <v>200</v>
      </c>
      <c r="I200" s="7" t="s">
        <v>477</v>
      </c>
      <c r="J200" s="7">
        <v>21801.599999999999</v>
      </c>
      <c r="K200" s="7" t="s">
        <v>202</v>
      </c>
      <c r="L200" s="7">
        <v>6661.6</v>
      </c>
      <c r="M200" s="1">
        <v>41548</v>
      </c>
      <c r="N200" s="4">
        <v>10</v>
      </c>
      <c r="O200" s="2" t="s">
        <v>66</v>
      </c>
      <c r="P200" s="4">
        <v>2013</v>
      </c>
      <c r="Q200" t="str">
        <f>IF(Table1[[#This Row],[UnitsSold]]&gt;3000,"Large",IF(Table1[[#This Row],[UnitsSold]]&gt;1500,"Midium","Small"))</f>
        <v>Midium</v>
      </c>
    </row>
    <row r="201" spans="1:17" x14ac:dyDescent="0.3">
      <c r="A201" s="2" t="s">
        <v>4</v>
      </c>
      <c r="B201" s="2" t="s">
        <v>67</v>
      </c>
      <c r="C201" s="2" t="s">
        <v>70</v>
      </c>
      <c r="D201" s="2" t="s">
        <v>135</v>
      </c>
      <c r="E201" s="4">
        <v>274</v>
      </c>
      <c r="F201" s="7" t="s">
        <v>71</v>
      </c>
      <c r="G201" s="7">
        <v>350</v>
      </c>
      <c r="H201" s="7" t="s">
        <v>438</v>
      </c>
      <c r="I201" s="7" t="s">
        <v>439</v>
      </c>
      <c r="J201" s="7">
        <v>92064</v>
      </c>
      <c r="K201" s="7" t="s">
        <v>440</v>
      </c>
      <c r="L201" s="7">
        <v>20824</v>
      </c>
      <c r="M201" s="1">
        <v>41974</v>
      </c>
      <c r="N201" s="4">
        <v>12</v>
      </c>
      <c r="O201" s="2" t="s">
        <v>41</v>
      </c>
      <c r="P201" s="4">
        <v>2014</v>
      </c>
      <c r="Q201" t="str">
        <f>IF(Table1[[#This Row],[UnitsSold]]&gt;3000,"Large",IF(Table1[[#This Row],[UnitsSold]]&gt;1500,"Midium","Small"))</f>
        <v>Small</v>
      </c>
    </row>
    <row r="202" spans="1:17" x14ac:dyDescent="0.3">
      <c r="A202" s="2" t="s">
        <v>10</v>
      </c>
      <c r="B202" s="2" t="s">
        <v>9</v>
      </c>
      <c r="C202" s="2" t="s">
        <v>70</v>
      </c>
      <c r="D202" s="2" t="s">
        <v>135</v>
      </c>
      <c r="E202" s="4">
        <v>1138</v>
      </c>
      <c r="F202" s="7" t="s">
        <v>71</v>
      </c>
      <c r="G202" s="7">
        <v>125</v>
      </c>
      <c r="H202" s="7" t="s">
        <v>447</v>
      </c>
      <c r="I202" s="7" t="s">
        <v>341</v>
      </c>
      <c r="J202" s="7" t="s">
        <v>1695</v>
      </c>
      <c r="K202" s="7" t="s">
        <v>448</v>
      </c>
      <c r="M202" s="1">
        <v>41974</v>
      </c>
      <c r="N202" s="4">
        <v>12</v>
      </c>
      <c r="O202" s="2" t="s">
        <v>41</v>
      </c>
      <c r="P202" s="4">
        <v>2014</v>
      </c>
      <c r="Q202" t="str">
        <f>IF(Table1[[#This Row],[UnitsSold]]&gt;3000,"Large",IF(Table1[[#This Row],[UnitsSold]]&gt;1500,"Midium","Small"))</f>
        <v>Small</v>
      </c>
    </row>
    <row r="203" spans="1:17" x14ac:dyDescent="0.3">
      <c r="A203" s="2" t="s">
        <v>47</v>
      </c>
      <c r="B203" s="2" t="s">
        <v>67</v>
      </c>
      <c r="C203" s="2" t="s">
        <v>101</v>
      </c>
      <c r="D203" s="2" t="s">
        <v>135</v>
      </c>
      <c r="E203" s="4">
        <v>1465</v>
      </c>
      <c r="F203" s="7" t="s">
        <v>102</v>
      </c>
      <c r="G203" s="7">
        <v>12</v>
      </c>
      <c r="H203" s="7" t="s">
        <v>479</v>
      </c>
      <c r="I203" s="7" t="s">
        <v>480</v>
      </c>
      <c r="J203" s="7">
        <v>16876.8</v>
      </c>
      <c r="K203" s="7" t="s">
        <v>481</v>
      </c>
      <c r="L203" s="7">
        <v>12481.8</v>
      </c>
      <c r="M203" s="1">
        <v>41699</v>
      </c>
      <c r="N203" s="4">
        <v>3</v>
      </c>
      <c r="O203" s="2" t="s">
        <v>46</v>
      </c>
      <c r="P203" s="4">
        <v>2014</v>
      </c>
      <c r="Q203" t="str">
        <f>IF(Table1[[#This Row],[UnitsSold]]&gt;3000,"Large",IF(Table1[[#This Row],[UnitsSold]]&gt;1500,"Midium","Small"))</f>
        <v>Small</v>
      </c>
    </row>
    <row r="204" spans="1:17" x14ac:dyDescent="0.3">
      <c r="A204" s="2" t="s">
        <v>4</v>
      </c>
      <c r="B204" s="2" t="s">
        <v>5</v>
      </c>
      <c r="C204" s="2" t="s">
        <v>101</v>
      </c>
      <c r="D204" s="2" t="s">
        <v>135</v>
      </c>
      <c r="E204" s="4">
        <v>2646</v>
      </c>
      <c r="F204" s="7" t="s">
        <v>102</v>
      </c>
      <c r="G204" s="7">
        <v>20</v>
      </c>
      <c r="H204" s="7" t="s">
        <v>482</v>
      </c>
      <c r="I204" s="7" t="s">
        <v>483</v>
      </c>
      <c r="J204" s="7">
        <v>50803.199999999997</v>
      </c>
      <c r="K204" s="7" t="s">
        <v>484</v>
      </c>
      <c r="L204" s="7">
        <v>24343.200000000001</v>
      </c>
      <c r="M204" s="1">
        <v>41518</v>
      </c>
      <c r="N204" s="4">
        <v>9</v>
      </c>
      <c r="O204" s="2" t="s">
        <v>63</v>
      </c>
      <c r="P204" s="4">
        <v>2013</v>
      </c>
      <c r="Q204" t="str">
        <f>IF(Table1[[#This Row],[UnitsSold]]&gt;3000,"Large",IF(Table1[[#This Row],[UnitsSold]]&gt;1500,"Midium","Small"))</f>
        <v>Midium</v>
      </c>
    </row>
    <row r="205" spans="1:17" x14ac:dyDescent="0.3">
      <c r="A205" s="2" t="s">
        <v>4</v>
      </c>
      <c r="B205" s="2" t="s">
        <v>8</v>
      </c>
      <c r="C205" s="2" t="s">
        <v>101</v>
      </c>
      <c r="D205" s="2" t="s">
        <v>135</v>
      </c>
      <c r="E205" s="4">
        <v>2177</v>
      </c>
      <c r="F205" s="7" t="s">
        <v>102</v>
      </c>
      <c r="G205" s="7">
        <v>350</v>
      </c>
      <c r="H205" s="7" t="s">
        <v>485</v>
      </c>
      <c r="I205" s="7" t="s">
        <v>486</v>
      </c>
      <c r="J205" s="7" t="s">
        <v>1700</v>
      </c>
      <c r="K205" s="7" t="s">
        <v>487</v>
      </c>
      <c r="L205" s="7" t="s">
        <v>1878</v>
      </c>
      <c r="M205" s="1">
        <v>41913</v>
      </c>
      <c r="N205" s="4">
        <v>10</v>
      </c>
      <c r="O205" s="2" t="s">
        <v>66</v>
      </c>
      <c r="P205" s="4">
        <v>2014</v>
      </c>
      <c r="Q205" t="str">
        <f>IF(Table1[[#This Row],[UnitsSold]]&gt;3000,"Large",IF(Table1[[#This Row],[UnitsSold]]&gt;1500,"Midium","Small"))</f>
        <v>Midium</v>
      </c>
    </row>
    <row r="206" spans="1:17" x14ac:dyDescent="0.3">
      <c r="A206" s="2" t="s">
        <v>47</v>
      </c>
      <c r="B206" s="2" t="s">
        <v>8</v>
      </c>
      <c r="C206" s="2" t="s">
        <v>111</v>
      </c>
      <c r="D206" s="2" t="s">
        <v>135</v>
      </c>
      <c r="E206" s="4">
        <v>866</v>
      </c>
      <c r="F206" s="7" t="s">
        <v>112</v>
      </c>
      <c r="G206" s="7">
        <v>12</v>
      </c>
      <c r="H206" s="7" t="s">
        <v>488</v>
      </c>
      <c r="I206" s="7" t="s">
        <v>489</v>
      </c>
      <c r="J206" s="7">
        <v>9976.32</v>
      </c>
      <c r="K206" s="7" t="s">
        <v>490</v>
      </c>
      <c r="L206" s="7">
        <v>7378.32</v>
      </c>
      <c r="M206" s="1">
        <v>41760</v>
      </c>
      <c r="N206" s="4">
        <v>5</v>
      </c>
      <c r="O206" s="2" t="s">
        <v>145</v>
      </c>
      <c r="P206" s="4">
        <v>2014</v>
      </c>
      <c r="Q206" t="str">
        <f>IF(Table1[[#This Row],[UnitsSold]]&gt;3000,"Large",IF(Table1[[#This Row],[UnitsSold]]&gt;1500,"Midium","Small"))</f>
        <v>Small</v>
      </c>
    </row>
    <row r="207" spans="1:17" x14ac:dyDescent="0.3">
      <c r="A207" s="2" t="s">
        <v>4</v>
      </c>
      <c r="B207" s="2" t="s">
        <v>67</v>
      </c>
      <c r="C207" s="2" t="s">
        <v>111</v>
      </c>
      <c r="D207" s="2" t="s">
        <v>135</v>
      </c>
      <c r="E207" s="4">
        <v>349</v>
      </c>
      <c r="F207" s="7" t="s">
        <v>112</v>
      </c>
      <c r="G207" s="7">
        <v>350</v>
      </c>
      <c r="H207" s="7" t="s">
        <v>491</v>
      </c>
      <c r="I207" s="7" t="s">
        <v>492</v>
      </c>
      <c r="J207" s="7" t="s">
        <v>1701</v>
      </c>
      <c r="K207" s="7" t="s">
        <v>493</v>
      </c>
      <c r="L207" s="7">
        <v>26524</v>
      </c>
      <c r="M207" s="1">
        <v>41518</v>
      </c>
      <c r="N207" s="4">
        <v>9</v>
      </c>
      <c r="O207" s="2" t="s">
        <v>63</v>
      </c>
      <c r="P207" s="4">
        <v>2013</v>
      </c>
      <c r="Q207" t="str">
        <f>IF(Table1[[#This Row],[UnitsSold]]&gt;3000,"Large",IF(Table1[[#This Row],[UnitsSold]]&gt;1500,"Midium","Small"))</f>
        <v>Small</v>
      </c>
    </row>
    <row r="208" spans="1:17" x14ac:dyDescent="0.3">
      <c r="A208" s="2" t="s">
        <v>4</v>
      </c>
      <c r="B208" s="2" t="s">
        <v>8</v>
      </c>
      <c r="C208" s="2" t="s">
        <v>111</v>
      </c>
      <c r="D208" s="2" t="s">
        <v>135</v>
      </c>
      <c r="E208" s="4">
        <v>2177</v>
      </c>
      <c r="F208" s="7" t="s">
        <v>112</v>
      </c>
      <c r="G208" s="7">
        <v>350</v>
      </c>
      <c r="H208" s="7" t="s">
        <v>485</v>
      </c>
      <c r="I208" s="7" t="s">
        <v>486</v>
      </c>
      <c r="J208" s="7" t="s">
        <v>1700</v>
      </c>
      <c r="K208" s="7" t="s">
        <v>487</v>
      </c>
      <c r="L208" s="7" t="s">
        <v>1878</v>
      </c>
      <c r="M208" s="1">
        <v>41913</v>
      </c>
      <c r="N208" s="4">
        <v>10</v>
      </c>
      <c r="O208" s="2" t="s">
        <v>66</v>
      </c>
      <c r="P208" s="4">
        <v>2014</v>
      </c>
      <c r="Q208" t="str">
        <f>IF(Table1[[#This Row],[UnitsSold]]&gt;3000,"Large",IF(Table1[[#This Row],[UnitsSold]]&gt;1500,"Midium","Small"))</f>
        <v>Midium</v>
      </c>
    </row>
    <row r="209" spans="1:17" x14ac:dyDescent="0.3">
      <c r="A209" s="2" t="s">
        <v>7</v>
      </c>
      <c r="B209" s="2" t="s">
        <v>9</v>
      </c>
      <c r="C209" s="2" t="s">
        <v>111</v>
      </c>
      <c r="D209" s="2" t="s">
        <v>135</v>
      </c>
      <c r="E209" s="4">
        <v>1514</v>
      </c>
      <c r="F209" s="7" t="s">
        <v>112</v>
      </c>
      <c r="G209" s="7">
        <v>15</v>
      </c>
      <c r="H209" s="7" t="s">
        <v>200</v>
      </c>
      <c r="I209" s="7" t="s">
        <v>477</v>
      </c>
      <c r="J209" s="7">
        <v>21801.599999999999</v>
      </c>
      <c r="K209" s="7" t="s">
        <v>202</v>
      </c>
      <c r="L209" s="7">
        <v>6661.6</v>
      </c>
      <c r="M209" s="1">
        <v>41548</v>
      </c>
      <c r="N209" s="4">
        <v>10</v>
      </c>
      <c r="O209" s="2" t="s">
        <v>66</v>
      </c>
      <c r="P209" s="4">
        <v>2013</v>
      </c>
      <c r="Q209" t="str">
        <f>IF(Table1[[#This Row],[UnitsSold]]&gt;3000,"Large",IF(Table1[[#This Row],[UnitsSold]]&gt;1500,"Midium","Small"))</f>
        <v>Midium</v>
      </c>
    </row>
    <row r="210" spans="1:17" x14ac:dyDescent="0.3">
      <c r="A210" s="2" t="s">
        <v>4</v>
      </c>
      <c r="B210" s="2" t="s">
        <v>9</v>
      </c>
      <c r="C210" s="2" t="s">
        <v>122</v>
      </c>
      <c r="D210" s="2" t="s">
        <v>135</v>
      </c>
      <c r="E210" s="4">
        <v>1865</v>
      </c>
      <c r="F210" s="7" t="s">
        <v>123</v>
      </c>
      <c r="G210" s="7">
        <v>350</v>
      </c>
      <c r="H210" s="7" t="s">
        <v>494</v>
      </c>
      <c r="I210" s="7" t="s">
        <v>495</v>
      </c>
      <c r="J210" s="7" t="s">
        <v>1702</v>
      </c>
      <c r="K210" s="7" t="s">
        <v>496</v>
      </c>
      <c r="L210" s="7" t="s">
        <v>1879</v>
      </c>
      <c r="M210" s="1">
        <v>41671</v>
      </c>
      <c r="N210" s="4">
        <v>2</v>
      </c>
      <c r="O210" s="2" t="s">
        <v>74</v>
      </c>
      <c r="P210" s="4">
        <v>2014</v>
      </c>
      <c r="Q210" t="str">
        <f>IF(Table1[[#This Row],[UnitsSold]]&gt;3000,"Large",IF(Table1[[#This Row],[UnitsSold]]&gt;1500,"Midium","Small"))</f>
        <v>Midium</v>
      </c>
    </row>
    <row r="211" spans="1:17" x14ac:dyDescent="0.3">
      <c r="A211" s="2" t="s">
        <v>10</v>
      </c>
      <c r="B211" s="2" t="s">
        <v>9</v>
      </c>
      <c r="C211" s="2" t="s">
        <v>122</v>
      </c>
      <c r="D211" s="2" t="s">
        <v>135</v>
      </c>
      <c r="E211" s="4">
        <v>1074</v>
      </c>
      <c r="F211" s="7" t="s">
        <v>123</v>
      </c>
      <c r="G211" s="7">
        <v>125</v>
      </c>
      <c r="H211" s="7" t="s">
        <v>497</v>
      </c>
      <c r="I211" s="7" t="s">
        <v>498</v>
      </c>
      <c r="J211" s="7" t="s">
        <v>1703</v>
      </c>
      <c r="K211" s="7" t="s">
        <v>499</v>
      </c>
      <c r="M211" s="1">
        <v>41730</v>
      </c>
      <c r="N211" s="4">
        <v>4</v>
      </c>
      <c r="O211" s="2" t="s">
        <v>117</v>
      </c>
      <c r="P211" s="4">
        <v>2014</v>
      </c>
      <c r="Q211" t="str">
        <f>IF(Table1[[#This Row],[UnitsSold]]&gt;3000,"Large",IF(Table1[[#This Row],[UnitsSold]]&gt;1500,"Midium","Small"))</f>
        <v>Small</v>
      </c>
    </row>
    <row r="212" spans="1:17" x14ac:dyDescent="0.3">
      <c r="A212" s="2" t="s">
        <v>4</v>
      </c>
      <c r="B212" s="2" t="s">
        <v>6</v>
      </c>
      <c r="C212" s="2" t="s">
        <v>122</v>
      </c>
      <c r="D212" s="2" t="s">
        <v>135</v>
      </c>
      <c r="E212" s="4">
        <v>1907</v>
      </c>
      <c r="F212" s="7" t="s">
        <v>123</v>
      </c>
      <c r="G212" s="7">
        <v>350</v>
      </c>
      <c r="H212" s="7" t="s">
        <v>500</v>
      </c>
      <c r="I212" s="7" t="s">
        <v>501</v>
      </c>
      <c r="J212" s="7" t="s">
        <v>1704</v>
      </c>
      <c r="K212" s="7" t="s">
        <v>502</v>
      </c>
      <c r="L212" s="7" t="s">
        <v>1880</v>
      </c>
      <c r="M212" s="1">
        <v>41883</v>
      </c>
      <c r="N212" s="4">
        <v>9</v>
      </c>
      <c r="O212" s="2" t="s">
        <v>63</v>
      </c>
      <c r="P212" s="4">
        <v>2014</v>
      </c>
      <c r="Q212" t="str">
        <f>IF(Table1[[#This Row],[UnitsSold]]&gt;3000,"Large",IF(Table1[[#This Row],[UnitsSold]]&gt;1500,"Midium","Small"))</f>
        <v>Midium</v>
      </c>
    </row>
    <row r="213" spans="1:17" x14ac:dyDescent="0.3">
      <c r="A213" s="2" t="s">
        <v>7</v>
      </c>
      <c r="B213" s="2" t="s">
        <v>67</v>
      </c>
      <c r="C213" s="2" t="s">
        <v>122</v>
      </c>
      <c r="D213" s="2" t="s">
        <v>135</v>
      </c>
      <c r="E213" s="4">
        <v>671</v>
      </c>
      <c r="F213" s="7" t="s">
        <v>123</v>
      </c>
      <c r="G213" s="7">
        <v>15</v>
      </c>
      <c r="H213" s="7" t="s">
        <v>311</v>
      </c>
      <c r="I213" s="7" t="s">
        <v>475</v>
      </c>
      <c r="J213" s="7">
        <v>9662.4</v>
      </c>
      <c r="K213" s="7" t="s">
        <v>476</v>
      </c>
      <c r="L213" s="7">
        <v>2952.4</v>
      </c>
      <c r="M213" s="1">
        <v>41548</v>
      </c>
      <c r="N213" s="4">
        <v>10</v>
      </c>
      <c r="O213" s="2" t="s">
        <v>66</v>
      </c>
      <c r="P213" s="4">
        <v>2013</v>
      </c>
      <c r="Q213" t="str">
        <f>IF(Table1[[#This Row],[UnitsSold]]&gt;3000,"Large",IF(Table1[[#This Row],[UnitsSold]]&gt;1500,"Midium","Small"))</f>
        <v>Small</v>
      </c>
    </row>
    <row r="214" spans="1:17" x14ac:dyDescent="0.3">
      <c r="A214" s="2" t="s">
        <v>4</v>
      </c>
      <c r="B214" s="2" t="s">
        <v>5</v>
      </c>
      <c r="C214" s="2" t="s">
        <v>122</v>
      </c>
      <c r="D214" s="2" t="s">
        <v>135</v>
      </c>
      <c r="E214" s="4">
        <v>1778</v>
      </c>
      <c r="F214" s="7" t="s">
        <v>123</v>
      </c>
      <c r="G214" s="7">
        <v>350</v>
      </c>
      <c r="H214" s="7" t="s">
        <v>503</v>
      </c>
      <c r="I214" s="7" t="s">
        <v>504</v>
      </c>
      <c r="J214" s="7" t="s">
        <v>1705</v>
      </c>
      <c r="K214" s="7" t="s">
        <v>505</v>
      </c>
      <c r="L214" s="7" t="s">
        <v>1881</v>
      </c>
      <c r="M214" s="1">
        <v>41609</v>
      </c>
      <c r="N214" s="4">
        <v>12</v>
      </c>
      <c r="O214" s="2" t="s">
        <v>41</v>
      </c>
      <c r="P214" s="4">
        <v>2013</v>
      </c>
      <c r="Q214" t="str">
        <f>IF(Table1[[#This Row],[UnitsSold]]&gt;3000,"Large",IF(Table1[[#This Row],[UnitsSold]]&gt;1500,"Midium","Small"))</f>
        <v>Midium</v>
      </c>
    </row>
    <row r="215" spans="1:17" x14ac:dyDescent="0.3">
      <c r="A215" s="2" t="s">
        <v>4</v>
      </c>
      <c r="B215" s="2" t="s">
        <v>6</v>
      </c>
      <c r="C215" s="2" t="s">
        <v>42</v>
      </c>
      <c r="D215" s="2" t="s">
        <v>506</v>
      </c>
      <c r="E215" s="4">
        <v>1159</v>
      </c>
      <c r="F215" s="7" t="s">
        <v>43</v>
      </c>
      <c r="G215" s="7">
        <v>7</v>
      </c>
      <c r="H215" s="7" t="s">
        <v>507</v>
      </c>
      <c r="I215" s="7" t="s">
        <v>508</v>
      </c>
      <c r="J215" s="7">
        <v>7707.35</v>
      </c>
      <c r="K215" s="7" t="s">
        <v>509</v>
      </c>
      <c r="L215" s="7">
        <v>1912.35</v>
      </c>
      <c r="M215" s="1">
        <v>41548</v>
      </c>
      <c r="N215" s="4">
        <v>10</v>
      </c>
      <c r="O215" s="2" t="s">
        <v>66</v>
      </c>
      <c r="P215" s="4">
        <v>2013</v>
      </c>
      <c r="Q215" t="str">
        <f>IF(Table1[[#This Row],[UnitsSold]]&gt;3000,"Large",IF(Table1[[#This Row],[UnitsSold]]&gt;1500,"Midium","Small"))</f>
        <v>Small</v>
      </c>
    </row>
    <row r="216" spans="1:17" x14ac:dyDescent="0.3">
      <c r="A216" s="2" t="s">
        <v>4</v>
      </c>
      <c r="B216" s="2" t="s">
        <v>6</v>
      </c>
      <c r="C216" s="2" t="s">
        <v>70</v>
      </c>
      <c r="D216" s="2" t="s">
        <v>506</v>
      </c>
      <c r="E216" s="4">
        <v>1372</v>
      </c>
      <c r="F216" s="7" t="s">
        <v>71</v>
      </c>
      <c r="G216" s="7">
        <v>7</v>
      </c>
      <c r="H216" s="7" t="s">
        <v>510</v>
      </c>
      <c r="I216" s="7" t="s">
        <v>511</v>
      </c>
      <c r="J216" s="7">
        <v>9123.7999999999993</v>
      </c>
      <c r="K216" s="7" t="s">
        <v>512</v>
      </c>
      <c r="L216" s="7">
        <v>2263.8000000000002</v>
      </c>
      <c r="M216" s="1">
        <v>41640</v>
      </c>
      <c r="N216" s="4">
        <v>1</v>
      </c>
      <c r="O216" s="2" t="s">
        <v>29</v>
      </c>
      <c r="P216" s="4">
        <v>2014</v>
      </c>
      <c r="Q216" t="str">
        <f>IF(Table1[[#This Row],[UnitsSold]]&gt;3000,"Large",IF(Table1[[#This Row],[UnitsSold]]&gt;1500,"Midium","Small"))</f>
        <v>Small</v>
      </c>
    </row>
    <row r="217" spans="1:17" x14ac:dyDescent="0.3">
      <c r="A217" s="2" t="s">
        <v>4</v>
      </c>
      <c r="B217" s="2" t="s">
        <v>5</v>
      </c>
      <c r="C217" s="2" t="s">
        <v>70</v>
      </c>
      <c r="D217" s="2" t="s">
        <v>506</v>
      </c>
      <c r="E217" s="4">
        <v>2349</v>
      </c>
      <c r="F217" s="7" t="s">
        <v>71</v>
      </c>
      <c r="G217" s="7">
        <v>7</v>
      </c>
      <c r="H217" s="7" t="s">
        <v>513</v>
      </c>
      <c r="I217" s="7" t="s">
        <v>514</v>
      </c>
      <c r="J217" s="7">
        <v>15620.85</v>
      </c>
      <c r="K217" s="7" t="s">
        <v>515</v>
      </c>
      <c r="L217" s="7">
        <v>3875.85</v>
      </c>
      <c r="M217" s="1">
        <v>41518</v>
      </c>
      <c r="N217" s="4">
        <v>9</v>
      </c>
      <c r="O217" s="2" t="s">
        <v>63</v>
      </c>
      <c r="P217" s="4">
        <v>2013</v>
      </c>
      <c r="Q217" t="str">
        <f>IF(Table1[[#This Row],[UnitsSold]]&gt;3000,"Large",IF(Table1[[#This Row],[UnitsSold]]&gt;1500,"Midium","Small"))</f>
        <v>Midium</v>
      </c>
    </row>
    <row r="218" spans="1:17" x14ac:dyDescent="0.3">
      <c r="A218" s="2" t="s">
        <v>4</v>
      </c>
      <c r="B218" s="2" t="s">
        <v>9</v>
      </c>
      <c r="C218" s="2" t="s">
        <v>70</v>
      </c>
      <c r="D218" s="2" t="s">
        <v>506</v>
      </c>
      <c r="E218" s="4">
        <v>2689</v>
      </c>
      <c r="F218" s="7" t="s">
        <v>71</v>
      </c>
      <c r="G218" s="7">
        <v>7</v>
      </c>
      <c r="H218" s="7" t="s">
        <v>516</v>
      </c>
      <c r="I218" s="7" t="s">
        <v>517</v>
      </c>
      <c r="J218" s="7">
        <v>17881.849999999999</v>
      </c>
      <c r="K218" s="7" t="s">
        <v>518</v>
      </c>
      <c r="L218" s="7">
        <v>4436.8500000000004</v>
      </c>
      <c r="M218" s="1">
        <v>41913</v>
      </c>
      <c r="N218" s="4">
        <v>10</v>
      </c>
      <c r="O218" s="2" t="s">
        <v>66</v>
      </c>
      <c r="P218" s="4">
        <v>2014</v>
      </c>
      <c r="Q218" t="str">
        <f>IF(Table1[[#This Row],[UnitsSold]]&gt;3000,"Large",IF(Table1[[#This Row],[UnitsSold]]&gt;1500,"Midium","Small"))</f>
        <v>Midium</v>
      </c>
    </row>
    <row r="219" spans="1:17" x14ac:dyDescent="0.3">
      <c r="A219" s="2" t="s">
        <v>47</v>
      </c>
      <c r="B219" s="2" t="s">
        <v>5</v>
      </c>
      <c r="C219" s="2" t="s">
        <v>70</v>
      </c>
      <c r="D219" s="2" t="s">
        <v>506</v>
      </c>
      <c r="E219" s="4">
        <v>2431</v>
      </c>
      <c r="F219" s="7" t="s">
        <v>71</v>
      </c>
      <c r="G219" s="7">
        <v>12</v>
      </c>
      <c r="H219" s="7" t="s">
        <v>519</v>
      </c>
      <c r="I219" s="7" t="s">
        <v>520</v>
      </c>
      <c r="J219" s="7">
        <v>27713.4</v>
      </c>
      <c r="K219" s="7" t="s">
        <v>521</v>
      </c>
      <c r="L219" s="7">
        <v>20420.400000000001</v>
      </c>
      <c r="M219" s="1">
        <v>41974</v>
      </c>
      <c r="N219" s="4">
        <v>12</v>
      </c>
      <c r="O219" s="2" t="s">
        <v>41</v>
      </c>
      <c r="P219" s="4">
        <v>2014</v>
      </c>
      <c r="Q219" t="str">
        <f>IF(Table1[[#This Row],[UnitsSold]]&gt;3000,"Large",IF(Table1[[#This Row],[UnitsSold]]&gt;1500,"Midium","Small"))</f>
        <v>Midium</v>
      </c>
    </row>
    <row r="220" spans="1:17" x14ac:dyDescent="0.3">
      <c r="A220" s="2" t="s">
        <v>47</v>
      </c>
      <c r="B220" s="2" t="s">
        <v>5</v>
      </c>
      <c r="C220" s="2" t="s">
        <v>101</v>
      </c>
      <c r="D220" s="2" t="s">
        <v>506</v>
      </c>
      <c r="E220" s="4">
        <v>2431</v>
      </c>
      <c r="F220" s="7" t="s">
        <v>102</v>
      </c>
      <c r="G220" s="7">
        <v>12</v>
      </c>
      <c r="H220" s="7" t="s">
        <v>519</v>
      </c>
      <c r="I220" s="7" t="s">
        <v>520</v>
      </c>
      <c r="J220" s="7">
        <v>27713.4</v>
      </c>
      <c r="K220" s="7" t="s">
        <v>521</v>
      </c>
      <c r="L220" s="7">
        <v>20420.400000000001</v>
      </c>
      <c r="M220" s="1">
        <v>41974</v>
      </c>
      <c r="N220" s="4">
        <v>12</v>
      </c>
      <c r="O220" s="2" t="s">
        <v>41</v>
      </c>
      <c r="P220" s="4">
        <v>2014</v>
      </c>
      <c r="Q220" t="str">
        <f>IF(Table1[[#This Row],[UnitsSold]]&gt;3000,"Large",IF(Table1[[#This Row],[UnitsSold]]&gt;1500,"Midium","Small"))</f>
        <v>Midium</v>
      </c>
    </row>
    <row r="221" spans="1:17" x14ac:dyDescent="0.3">
      <c r="A221" s="2" t="s">
        <v>4</v>
      </c>
      <c r="B221" s="2" t="s">
        <v>9</v>
      </c>
      <c r="C221" s="2" t="s">
        <v>111</v>
      </c>
      <c r="D221" s="2" t="s">
        <v>506</v>
      </c>
      <c r="E221" s="4">
        <v>2689</v>
      </c>
      <c r="F221" s="7" t="s">
        <v>112</v>
      </c>
      <c r="G221" s="7">
        <v>7</v>
      </c>
      <c r="H221" s="7" t="s">
        <v>516</v>
      </c>
      <c r="I221" s="7" t="s">
        <v>517</v>
      </c>
      <c r="J221" s="7">
        <v>17881.849999999999</v>
      </c>
      <c r="K221" s="7" t="s">
        <v>518</v>
      </c>
      <c r="L221" s="7">
        <v>4436.8500000000004</v>
      </c>
      <c r="M221" s="1">
        <v>41913</v>
      </c>
      <c r="N221" s="4">
        <v>10</v>
      </c>
      <c r="O221" s="2" t="s">
        <v>66</v>
      </c>
      <c r="P221" s="4">
        <v>2014</v>
      </c>
      <c r="Q221" t="str">
        <f>IF(Table1[[#This Row],[UnitsSold]]&gt;3000,"Large",IF(Table1[[#This Row],[UnitsSold]]&gt;1500,"Midium","Small"))</f>
        <v>Midium</v>
      </c>
    </row>
    <row r="222" spans="1:17" x14ac:dyDescent="0.3">
      <c r="A222" s="2" t="s">
        <v>4</v>
      </c>
      <c r="B222" s="2" t="s">
        <v>9</v>
      </c>
      <c r="C222" s="2" t="s">
        <v>122</v>
      </c>
      <c r="D222" s="2" t="s">
        <v>506</v>
      </c>
      <c r="E222" s="4">
        <v>1683</v>
      </c>
      <c r="F222" s="7" t="s">
        <v>123</v>
      </c>
      <c r="G222" s="7">
        <v>7</v>
      </c>
      <c r="H222" s="7" t="s">
        <v>522</v>
      </c>
      <c r="I222" s="7" t="s">
        <v>523</v>
      </c>
      <c r="J222" s="7">
        <v>11191.95</v>
      </c>
      <c r="K222" s="7" t="s">
        <v>524</v>
      </c>
      <c r="L222" s="7">
        <v>2776.95</v>
      </c>
      <c r="M222" s="1">
        <v>41821</v>
      </c>
      <c r="N222" s="4">
        <v>7</v>
      </c>
      <c r="O222" s="2" t="s">
        <v>56</v>
      </c>
      <c r="P222" s="4">
        <v>2014</v>
      </c>
      <c r="Q222" t="str">
        <f>IF(Table1[[#This Row],[UnitsSold]]&gt;3000,"Large",IF(Table1[[#This Row],[UnitsSold]]&gt;1500,"Midium","Small"))</f>
        <v>Midium</v>
      </c>
    </row>
    <row r="223" spans="1:17" x14ac:dyDescent="0.3">
      <c r="A223" s="2" t="s">
        <v>47</v>
      </c>
      <c r="B223" s="2" t="s">
        <v>9</v>
      </c>
      <c r="C223" s="2" t="s">
        <v>122</v>
      </c>
      <c r="D223" s="2" t="s">
        <v>506</v>
      </c>
      <c r="E223" s="4">
        <v>1123</v>
      </c>
      <c r="F223" s="7" t="s">
        <v>123</v>
      </c>
      <c r="G223" s="7">
        <v>12</v>
      </c>
      <c r="H223" s="7" t="s">
        <v>525</v>
      </c>
      <c r="I223" s="7" t="s">
        <v>526</v>
      </c>
      <c r="J223" s="7">
        <v>12802.2</v>
      </c>
      <c r="K223" s="7" t="s">
        <v>527</v>
      </c>
      <c r="L223" s="7">
        <v>9433.2000000000007</v>
      </c>
      <c r="M223" s="1">
        <v>41852</v>
      </c>
      <c r="N223" s="4">
        <v>8</v>
      </c>
      <c r="O223" s="2" t="s">
        <v>60</v>
      </c>
      <c r="P223" s="4">
        <v>2014</v>
      </c>
      <c r="Q223" t="str">
        <f>IF(Table1[[#This Row],[UnitsSold]]&gt;3000,"Large",IF(Table1[[#This Row],[UnitsSold]]&gt;1500,"Midium","Small"))</f>
        <v>Small</v>
      </c>
    </row>
    <row r="224" spans="1:17" x14ac:dyDescent="0.3">
      <c r="A224" s="2" t="s">
        <v>4</v>
      </c>
      <c r="B224" s="2" t="s">
        <v>6</v>
      </c>
      <c r="C224" s="2" t="s">
        <v>122</v>
      </c>
      <c r="D224" s="2" t="s">
        <v>506</v>
      </c>
      <c r="E224" s="4">
        <v>1159</v>
      </c>
      <c r="F224" s="7" t="s">
        <v>123</v>
      </c>
      <c r="G224" s="7">
        <v>7</v>
      </c>
      <c r="H224" s="7" t="s">
        <v>507</v>
      </c>
      <c r="I224" s="7" t="s">
        <v>508</v>
      </c>
      <c r="J224" s="7">
        <v>7707.35</v>
      </c>
      <c r="K224" s="7" t="s">
        <v>509</v>
      </c>
      <c r="L224" s="7">
        <v>1912.35</v>
      </c>
      <c r="M224" s="1">
        <v>41548</v>
      </c>
      <c r="N224" s="4">
        <v>10</v>
      </c>
      <c r="O224" s="2" t="s">
        <v>66</v>
      </c>
      <c r="P224" s="4">
        <v>2013</v>
      </c>
      <c r="Q224" t="str">
        <f>IF(Table1[[#This Row],[UnitsSold]]&gt;3000,"Large",IF(Table1[[#This Row],[UnitsSold]]&gt;1500,"Midium","Small"))</f>
        <v>Small</v>
      </c>
    </row>
    <row r="225" spans="1:17" x14ac:dyDescent="0.3">
      <c r="A225" s="2" t="s">
        <v>47</v>
      </c>
      <c r="B225" s="2" t="s">
        <v>8</v>
      </c>
      <c r="C225" s="2" t="s">
        <v>23</v>
      </c>
      <c r="D225" s="2" t="s">
        <v>506</v>
      </c>
      <c r="E225" s="4">
        <v>1865</v>
      </c>
      <c r="F225" s="7" t="s">
        <v>25</v>
      </c>
      <c r="G225" s="7">
        <v>12</v>
      </c>
      <c r="H225" s="7" t="s">
        <v>528</v>
      </c>
      <c r="I225" s="7" t="s">
        <v>529</v>
      </c>
      <c r="J225" s="7">
        <v>21261</v>
      </c>
      <c r="K225" s="7" t="s">
        <v>530</v>
      </c>
      <c r="L225" s="7">
        <v>15666</v>
      </c>
      <c r="M225" s="1">
        <v>41671</v>
      </c>
      <c r="N225" s="4">
        <v>2</v>
      </c>
      <c r="O225" s="2" t="s">
        <v>74</v>
      </c>
      <c r="P225" s="4">
        <v>2014</v>
      </c>
      <c r="Q225" t="str">
        <f>IF(Table1[[#This Row],[UnitsSold]]&gt;3000,"Large",IF(Table1[[#This Row],[UnitsSold]]&gt;1500,"Midium","Small"))</f>
        <v>Midium</v>
      </c>
    </row>
    <row r="226" spans="1:17" x14ac:dyDescent="0.3">
      <c r="A226" s="2" t="s">
        <v>47</v>
      </c>
      <c r="B226" s="2" t="s">
        <v>6</v>
      </c>
      <c r="C226" s="2" t="s">
        <v>23</v>
      </c>
      <c r="D226" s="2" t="s">
        <v>506</v>
      </c>
      <c r="E226" s="4">
        <v>1116</v>
      </c>
      <c r="F226" s="7" t="s">
        <v>25</v>
      </c>
      <c r="G226" s="7">
        <v>12</v>
      </c>
      <c r="H226" s="7" t="s">
        <v>531</v>
      </c>
      <c r="I226" s="7" t="s">
        <v>532</v>
      </c>
      <c r="J226" s="7">
        <v>12722.4</v>
      </c>
      <c r="K226" s="7" t="s">
        <v>533</v>
      </c>
      <c r="L226" s="7">
        <v>9374.4</v>
      </c>
      <c r="M226" s="1">
        <v>41671</v>
      </c>
      <c r="N226" s="4">
        <v>2</v>
      </c>
      <c r="O226" s="2" t="s">
        <v>74</v>
      </c>
      <c r="P226" s="4">
        <v>2014</v>
      </c>
      <c r="Q226" t="str">
        <f>IF(Table1[[#This Row],[UnitsSold]]&gt;3000,"Large",IF(Table1[[#This Row],[UnitsSold]]&gt;1500,"Midium","Small"))</f>
        <v>Small</v>
      </c>
    </row>
    <row r="227" spans="1:17" x14ac:dyDescent="0.3">
      <c r="A227" s="2" t="s">
        <v>4</v>
      </c>
      <c r="B227" s="2" t="s">
        <v>8</v>
      </c>
      <c r="C227" s="2" t="s">
        <v>23</v>
      </c>
      <c r="D227" s="2" t="s">
        <v>506</v>
      </c>
      <c r="E227" s="4">
        <v>1563</v>
      </c>
      <c r="F227" s="7" t="s">
        <v>25</v>
      </c>
      <c r="G227" s="7">
        <v>20</v>
      </c>
      <c r="H227" s="7" t="s">
        <v>535</v>
      </c>
      <c r="I227" s="7" t="s">
        <v>534</v>
      </c>
      <c r="J227" s="7">
        <v>29697</v>
      </c>
      <c r="K227" s="7" t="s">
        <v>536</v>
      </c>
      <c r="L227" s="7">
        <v>14067</v>
      </c>
      <c r="M227" s="1">
        <v>41760</v>
      </c>
      <c r="N227" s="4">
        <v>5</v>
      </c>
      <c r="O227" s="2" t="s">
        <v>145</v>
      </c>
      <c r="P227" s="4">
        <v>2014</v>
      </c>
      <c r="Q227" t="str">
        <f>IF(Table1[[#This Row],[UnitsSold]]&gt;3000,"Large",IF(Table1[[#This Row],[UnitsSold]]&gt;1500,"Midium","Small"))</f>
        <v>Midium</v>
      </c>
    </row>
    <row r="228" spans="1:17" x14ac:dyDescent="0.3">
      <c r="A228" s="2" t="s">
        <v>57</v>
      </c>
      <c r="B228" s="2" t="s">
        <v>67</v>
      </c>
      <c r="C228" s="2" t="s">
        <v>23</v>
      </c>
      <c r="D228" s="2" t="s">
        <v>506</v>
      </c>
      <c r="E228" s="4">
        <v>991</v>
      </c>
      <c r="F228" s="7" t="s">
        <v>25</v>
      </c>
      <c r="G228" s="7">
        <v>300</v>
      </c>
      <c r="H228" s="7" t="s">
        <v>537</v>
      </c>
      <c r="I228" s="7" t="s">
        <v>538</v>
      </c>
      <c r="J228" s="7" t="s">
        <v>1706</v>
      </c>
      <c r="K228" s="7" t="s">
        <v>539</v>
      </c>
      <c r="L228" s="7">
        <v>34685</v>
      </c>
      <c r="M228" s="1">
        <v>41791</v>
      </c>
      <c r="N228" s="4">
        <v>6</v>
      </c>
      <c r="O228" s="2" t="s">
        <v>34</v>
      </c>
      <c r="P228" s="4">
        <v>2014</v>
      </c>
      <c r="Q228" t="str">
        <f>IF(Table1[[#This Row],[UnitsSold]]&gt;3000,"Large",IF(Table1[[#This Row],[UnitsSold]]&gt;1500,"Midium","Small"))</f>
        <v>Small</v>
      </c>
    </row>
    <row r="229" spans="1:17" x14ac:dyDescent="0.3">
      <c r="A229" s="2" t="s">
        <v>4</v>
      </c>
      <c r="B229" s="2" t="s">
        <v>6</v>
      </c>
      <c r="C229" s="2" t="s">
        <v>23</v>
      </c>
      <c r="D229" s="2" t="s">
        <v>506</v>
      </c>
      <c r="E229" s="4">
        <v>1016</v>
      </c>
      <c r="F229" s="7" t="s">
        <v>25</v>
      </c>
      <c r="G229" s="7">
        <v>7</v>
      </c>
      <c r="H229" s="7" t="s">
        <v>540</v>
      </c>
      <c r="I229" s="7" t="s">
        <v>541</v>
      </c>
      <c r="J229" s="7">
        <v>6756.4</v>
      </c>
      <c r="K229" s="7" t="s">
        <v>542</v>
      </c>
      <c r="L229" s="7">
        <v>1676.4</v>
      </c>
      <c r="M229" s="1">
        <v>41579</v>
      </c>
      <c r="N229" s="4">
        <v>11</v>
      </c>
      <c r="O229" s="2" t="s">
        <v>94</v>
      </c>
      <c r="P229" s="4">
        <v>2013</v>
      </c>
      <c r="Q229" t="str">
        <f>IF(Table1[[#This Row],[UnitsSold]]&gt;3000,"Large",IF(Table1[[#This Row],[UnitsSold]]&gt;1500,"Midium","Small"))</f>
        <v>Small</v>
      </c>
    </row>
    <row r="230" spans="1:17" x14ac:dyDescent="0.3">
      <c r="A230" s="2" t="s">
        <v>7</v>
      </c>
      <c r="B230" s="2" t="s">
        <v>9</v>
      </c>
      <c r="C230" s="2" t="s">
        <v>23</v>
      </c>
      <c r="D230" s="2" t="s">
        <v>506</v>
      </c>
      <c r="E230" s="4">
        <v>2791</v>
      </c>
      <c r="F230" s="7" t="s">
        <v>25</v>
      </c>
      <c r="G230" s="7">
        <v>15</v>
      </c>
      <c r="H230" s="7" t="s">
        <v>543</v>
      </c>
      <c r="I230" s="7" t="s">
        <v>544</v>
      </c>
      <c r="J230" s="7">
        <v>39771.75</v>
      </c>
      <c r="K230" s="7" t="s">
        <v>545</v>
      </c>
      <c r="L230" s="7">
        <v>11861.75</v>
      </c>
      <c r="M230" s="1">
        <v>41944</v>
      </c>
      <c r="N230" s="4">
        <v>11</v>
      </c>
      <c r="O230" s="2" t="s">
        <v>94</v>
      </c>
      <c r="P230" s="4">
        <v>2014</v>
      </c>
      <c r="Q230" t="str">
        <f>IF(Table1[[#This Row],[UnitsSold]]&gt;3000,"Large",IF(Table1[[#This Row],[UnitsSold]]&gt;1500,"Midium","Small"))</f>
        <v>Midium</v>
      </c>
    </row>
    <row r="231" spans="1:17" x14ac:dyDescent="0.3">
      <c r="A231" s="2" t="s">
        <v>4</v>
      </c>
      <c r="B231" s="2" t="s">
        <v>67</v>
      </c>
      <c r="C231" s="2" t="s">
        <v>23</v>
      </c>
      <c r="D231" s="2" t="s">
        <v>506</v>
      </c>
      <c r="E231" s="4">
        <v>570</v>
      </c>
      <c r="F231" s="7" t="s">
        <v>25</v>
      </c>
      <c r="G231" s="7">
        <v>7</v>
      </c>
      <c r="H231" s="7" t="s">
        <v>546</v>
      </c>
      <c r="I231" s="7" t="s">
        <v>547</v>
      </c>
      <c r="J231" s="7">
        <v>3790.5</v>
      </c>
      <c r="K231" s="7" t="s">
        <v>548</v>
      </c>
      <c r="L231" s="7">
        <v>940.5</v>
      </c>
      <c r="M231" s="1">
        <v>41974</v>
      </c>
      <c r="N231" s="4">
        <v>12</v>
      </c>
      <c r="O231" s="2" t="s">
        <v>41</v>
      </c>
      <c r="P231" s="4">
        <v>2014</v>
      </c>
      <c r="Q231" t="str">
        <f>IF(Table1[[#This Row],[UnitsSold]]&gt;3000,"Large",IF(Table1[[#This Row],[UnitsSold]]&gt;1500,"Midium","Small"))</f>
        <v>Small</v>
      </c>
    </row>
    <row r="232" spans="1:17" x14ac:dyDescent="0.3">
      <c r="A232" s="2" t="s">
        <v>4</v>
      </c>
      <c r="B232" s="2" t="s">
        <v>8</v>
      </c>
      <c r="C232" s="2" t="s">
        <v>23</v>
      </c>
      <c r="D232" s="2" t="s">
        <v>506</v>
      </c>
      <c r="E232" s="4">
        <v>2487</v>
      </c>
      <c r="F232" s="7" t="s">
        <v>25</v>
      </c>
      <c r="G232" s="7">
        <v>7</v>
      </c>
      <c r="H232" s="7" t="s">
        <v>549</v>
      </c>
      <c r="I232" s="7" t="s">
        <v>550</v>
      </c>
      <c r="J232" s="7">
        <v>16538.55</v>
      </c>
      <c r="K232" s="7" t="s">
        <v>551</v>
      </c>
      <c r="L232" s="7">
        <v>4103.55</v>
      </c>
      <c r="M232" s="1">
        <v>41974</v>
      </c>
      <c r="N232" s="4">
        <v>12</v>
      </c>
      <c r="O232" s="2" t="s">
        <v>41</v>
      </c>
      <c r="P232" s="4">
        <v>2014</v>
      </c>
      <c r="Q232" t="str">
        <f>IF(Table1[[#This Row],[UnitsSold]]&gt;3000,"Large",IF(Table1[[#This Row],[UnitsSold]]&gt;1500,"Midium","Small"))</f>
        <v>Midium</v>
      </c>
    </row>
    <row r="233" spans="1:17" x14ac:dyDescent="0.3">
      <c r="A233" s="2" t="s">
        <v>4</v>
      </c>
      <c r="B233" s="2" t="s">
        <v>8</v>
      </c>
      <c r="C233" s="2" t="s">
        <v>42</v>
      </c>
      <c r="D233" s="2" t="s">
        <v>506</v>
      </c>
      <c r="E233" s="4">
        <v>1384.5</v>
      </c>
      <c r="F233" s="7" t="s">
        <v>43</v>
      </c>
      <c r="G233" s="7">
        <v>350</v>
      </c>
      <c r="H233" s="7" t="s">
        <v>552</v>
      </c>
      <c r="I233" s="7" t="s">
        <v>553</v>
      </c>
      <c r="J233" s="7" t="s">
        <v>1707</v>
      </c>
      <c r="K233" s="7" t="s">
        <v>554</v>
      </c>
      <c r="L233" s="7" t="s">
        <v>1882</v>
      </c>
      <c r="M233" s="1">
        <v>41640</v>
      </c>
      <c r="N233" s="4">
        <v>1</v>
      </c>
      <c r="O233" s="2" t="s">
        <v>29</v>
      </c>
      <c r="P233" s="4">
        <v>2014</v>
      </c>
      <c r="Q233" t="str">
        <f>IF(Table1[[#This Row],[UnitsSold]]&gt;3000,"Large",IF(Table1[[#This Row],[UnitsSold]]&gt;1500,"Midium","Small"))</f>
        <v>Small</v>
      </c>
    </row>
    <row r="234" spans="1:17" x14ac:dyDescent="0.3">
      <c r="A234" s="2" t="s">
        <v>10</v>
      </c>
      <c r="B234" s="2" t="s">
        <v>67</v>
      </c>
      <c r="C234" s="2" t="s">
        <v>42</v>
      </c>
      <c r="D234" s="2" t="s">
        <v>506</v>
      </c>
      <c r="E234" s="4">
        <v>3627</v>
      </c>
      <c r="F234" s="7" t="s">
        <v>43</v>
      </c>
      <c r="G234" s="7">
        <v>125</v>
      </c>
      <c r="H234" s="7" t="s">
        <v>555</v>
      </c>
      <c r="I234" s="7" t="s">
        <v>556</v>
      </c>
      <c r="J234" s="7" t="s">
        <v>1708</v>
      </c>
      <c r="K234" s="7" t="s">
        <v>557</v>
      </c>
      <c r="L234" s="7">
        <v>4533.75</v>
      </c>
      <c r="M234" s="1">
        <v>41821</v>
      </c>
      <c r="N234" s="4">
        <v>7</v>
      </c>
      <c r="O234" s="2" t="s">
        <v>56</v>
      </c>
      <c r="P234" s="4">
        <v>2014</v>
      </c>
      <c r="Q234" t="str">
        <f>IF(Table1[[#This Row],[UnitsSold]]&gt;3000,"Large",IF(Table1[[#This Row],[UnitsSold]]&gt;1500,"Midium","Small"))</f>
        <v>Large</v>
      </c>
    </row>
    <row r="235" spans="1:17" x14ac:dyDescent="0.3">
      <c r="A235" s="2" t="s">
        <v>4</v>
      </c>
      <c r="B235" s="2" t="s">
        <v>9</v>
      </c>
      <c r="C235" s="2" t="s">
        <v>42</v>
      </c>
      <c r="D235" s="2" t="s">
        <v>506</v>
      </c>
      <c r="E235" s="4">
        <v>720</v>
      </c>
      <c r="F235" s="7" t="s">
        <v>43</v>
      </c>
      <c r="G235" s="7">
        <v>350</v>
      </c>
      <c r="H235" s="7" t="s">
        <v>558</v>
      </c>
      <c r="I235" s="7" t="s">
        <v>559</v>
      </c>
      <c r="J235" s="7" t="s">
        <v>1709</v>
      </c>
      <c r="K235" s="7" t="s">
        <v>560</v>
      </c>
      <c r="L235" s="7">
        <v>52200</v>
      </c>
      <c r="M235" s="1">
        <v>41518</v>
      </c>
      <c r="N235" s="4">
        <v>9</v>
      </c>
      <c r="O235" s="2" t="s">
        <v>63</v>
      </c>
      <c r="P235" s="4">
        <v>2013</v>
      </c>
      <c r="Q235" t="str">
        <f>IF(Table1[[#This Row],[UnitsSold]]&gt;3000,"Large",IF(Table1[[#This Row],[UnitsSold]]&gt;1500,"Midium","Small"))</f>
        <v>Small</v>
      </c>
    </row>
    <row r="236" spans="1:17" x14ac:dyDescent="0.3">
      <c r="A236" s="2" t="s">
        <v>47</v>
      </c>
      <c r="B236" s="2" t="s">
        <v>6</v>
      </c>
      <c r="C236" s="2" t="s">
        <v>42</v>
      </c>
      <c r="D236" s="2" t="s">
        <v>506</v>
      </c>
      <c r="E236" s="4">
        <v>2342</v>
      </c>
      <c r="F236" s="7" t="s">
        <v>43</v>
      </c>
      <c r="G236" s="7">
        <v>12</v>
      </c>
      <c r="H236" s="7" t="s">
        <v>561</v>
      </c>
      <c r="I236" s="7" t="s">
        <v>562</v>
      </c>
      <c r="J236" s="7">
        <v>26698.799999999999</v>
      </c>
      <c r="K236" s="7" t="s">
        <v>563</v>
      </c>
      <c r="L236" s="7">
        <v>19672.8</v>
      </c>
      <c r="M236" s="1">
        <v>41944</v>
      </c>
      <c r="N236" s="4">
        <v>11</v>
      </c>
      <c r="O236" s="2" t="s">
        <v>94</v>
      </c>
      <c r="P236" s="4">
        <v>2014</v>
      </c>
      <c r="Q236" t="str">
        <f>IF(Table1[[#This Row],[UnitsSold]]&gt;3000,"Large",IF(Table1[[#This Row],[UnitsSold]]&gt;1500,"Midium","Small"))</f>
        <v>Midium</v>
      </c>
    </row>
    <row r="237" spans="1:17" x14ac:dyDescent="0.3">
      <c r="A237" s="2" t="s">
        <v>57</v>
      </c>
      <c r="B237" s="2" t="s">
        <v>9</v>
      </c>
      <c r="C237" s="2" t="s">
        <v>42</v>
      </c>
      <c r="D237" s="2" t="s">
        <v>506</v>
      </c>
      <c r="E237" s="4">
        <v>1100</v>
      </c>
      <c r="F237" s="7" t="s">
        <v>43</v>
      </c>
      <c r="G237" s="7">
        <v>300</v>
      </c>
      <c r="H237" s="7" t="s">
        <v>564</v>
      </c>
      <c r="I237" s="7" t="s">
        <v>565</v>
      </c>
      <c r="J237" s="7" t="s">
        <v>1710</v>
      </c>
      <c r="K237" s="7" t="s">
        <v>566</v>
      </c>
      <c r="L237" s="7">
        <v>38500</v>
      </c>
      <c r="M237" s="1">
        <v>41609</v>
      </c>
      <c r="N237" s="4">
        <v>12</v>
      </c>
      <c r="O237" s="2" t="s">
        <v>41</v>
      </c>
      <c r="P237" s="4">
        <v>2013</v>
      </c>
      <c r="Q237" t="str">
        <f>IF(Table1[[#This Row],[UnitsSold]]&gt;3000,"Large",IF(Table1[[#This Row],[UnitsSold]]&gt;1500,"Midium","Small"))</f>
        <v>Small</v>
      </c>
    </row>
    <row r="238" spans="1:17" x14ac:dyDescent="0.3">
      <c r="A238" s="2" t="s">
        <v>4</v>
      </c>
      <c r="B238" s="2" t="s">
        <v>8</v>
      </c>
      <c r="C238" s="2" t="s">
        <v>70</v>
      </c>
      <c r="D238" s="2" t="s">
        <v>506</v>
      </c>
      <c r="E238" s="4">
        <v>1303</v>
      </c>
      <c r="F238" s="7" t="s">
        <v>71</v>
      </c>
      <c r="G238" s="7">
        <v>20</v>
      </c>
      <c r="H238" s="7" t="s">
        <v>568</v>
      </c>
      <c r="I238" s="7" t="s">
        <v>567</v>
      </c>
      <c r="J238" s="7">
        <v>24757</v>
      </c>
      <c r="K238" s="7" t="s">
        <v>569</v>
      </c>
      <c r="L238" s="7">
        <v>11727</v>
      </c>
      <c r="M238" s="1">
        <v>41671</v>
      </c>
      <c r="N238" s="4">
        <v>2</v>
      </c>
      <c r="O238" s="2" t="s">
        <v>74</v>
      </c>
      <c r="P238" s="4">
        <v>2014</v>
      </c>
      <c r="Q238" t="str">
        <f>IF(Table1[[#This Row],[UnitsSold]]&gt;3000,"Large",IF(Table1[[#This Row],[UnitsSold]]&gt;1500,"Midium","Small"))</f>
        <v>Small</v>
      </c>
    </row>
    <row r="239" spans="1:17" x14ac:dyDescent="0.3">
      <c r="A239" s="2" t="s">
        <v>10</v>
      </c>
      <c r="B239" s="2" t="s">
        <v>67</v>
      </c>
      <c r="C239" s="2" t="s">
        <v>70</v>
      </c>
      <c r="D239" s="2" t="s">
        <v>506</v>
      </c>
      <c r="E239" s="4">
        <v>2992</v>
      </c>
      <c r="F239" s="7" t="s">
        <v>71</v>
      </c>
      <c r="G239" s="7">
        <v>125</v>
      </c>
      <c r="H239" s="7" t="s">
        <v>570</v>
      </c>
      <c r="I239" s="7" t="s">
        <v>571</v>
      </c>
      <c r="J239" s="7" t="s">
        <v>1711</v>
      </c>
      <c r="K239" s="7" t="s">
        <v>572</v>
      </c>
      <c r="L239" s="7">
        <v>3740</v>
      </c>
      <c r="M239" s="1">
        <v>41699</v>
      </c>
      <c r="N239" s="4">
        <v>3</v>
      </c>
      <c r="O239" s="2" t="s">
        <v>46</v>
      </c>
      <c r="P239" s="4">
        <v>2014</v>
      </c>
      <c r="Q239" t="str">
        <f>IF(Table1[[#This Row],[UnitsSold]]&gt;3000,"Large",IF(Table1[[#This Row],[UnitsSold]]&gt;1500,"Midium","Small"))</f>
        <v>Midium</v>
      </c>
    </row>
    <row r="240" spans="1:17" x14ac:dyDescent="0.3">
      <c r="A240" s="2" t="s">
        <v>10</v>
      </c>
      <c r="B240" s="2" t="s">
        <v>8</v>
      </c>
      <c r="C240" s="2" t="s">
        <v>70</v>
      </c>
      <c r="D240" s="2" t="s">
        <v>506</v>
      </c>
      <c r="E240" s="4">
        <v>2385</v>
      </c>
      <c r="F240" s="7" t="s">
        <v>71</v>
      </c>
      <c r="G240" s="7">
        <v>125</v>
      </c>
      <c r="H240" s="7" t="s">
        <v>573</v>
      </c>
      <c r="I240" s="7" t="s">
        <v>574</v>
      </c>
      <c r="J240" s="7" t="s">
        <v>1712</v>
      </c>
      <c r="K240" s="7" t="s">
        <v>575</v>
      </c>
      <c r="L240" s="7">
        <v>2981.25</v>
      </c>
      <c r="M240" s="1">
        <v>41699</v>
      </c>
      <c r="N240" s="4">
        <v>3</v>
      </c>
      <c r="O240" s="2" t="s">
        <v>46</v>
      </c>
      <c r="P240" s="4">
        <v>2014</v>
      </c>
      <c r="Q240" t="str">
        <f>IF(Table1[[#This Row],[UnitsSold]]&gt;3000,"Large",IF(Table1[[#This Row],[UnitsSold]]&gt;1500,"Midium","Small"))</f>
        <v>Midium</v>
      </c>
    </row>
    <row r="241" spans="1:17" x14ac:dyDescent="0.3">
      <c r="A241" s="2" t="s">
        <v>57</v>
      </c>
      <c r="B241" s="2" t="s">
        <v>9</v>
      </c>
      <c r="C241" s="2" t="s">
        <v>70</v>
      </c>
      <c r="D241" s="2" t="s">
        <v>506</v>
      </c>
      <c r="E241" s="4">
        <v>1607</v>
      </c>
      <c r="F241" s="7" t="s">
        <v>71</v>
      </c>
      <c r="G241" s="7">
        <v>300</v>
      </c>
      <c r="H241" s="7" t="s">
        <v>576</v>
      </c>
      <c r="I241" s="7" t="s">
        <v>577</v>
      </c>
      <c r="J241" s="7" t="s">
        <v>1713</v>
      </c>
      <c r="K241" s="7" t="s">
        <v>578</v>
      </c>
      <c r="L241" s="7">
        <v>56245</v>
      </c>
      <c r="M241" s="1">
        <v>41730</v>
      </c>
      <c r="N241" s="4">
        <v>4</v>
      </c>
      <c r="O241" s="2" t="s">
        <v>117</v>
      </c>
      <c r="P241" s="4">
        <v>2014</v>
      </c>
      <c r="Q241" t="str">
        <f>IF(Table1[[#This Row],[UnitsSold]]&gt;3000,"Large",IF(Table1[[#This Row],[UnitsSold]]&gt;1500,"Midium","Small"))</f>
        <v>Midium</v>
      </c>
    </row>
    <row r="242" spans="1:17" x14ac:dyDescent="0.3">
      <c r="A242" s="2" t="s">
        <v>4</v>
      </c>
      <c r="B242" s="2" t="s">
        <v>67</v>
      </c>
      <c r="C242" s="2" t="s">
        <v>70</v>
      </c>
      <c r="D242" s="2" t="s">
        <v>506</v>
      </c>
      <c r="E242" s="4">
        <v>2327</v>
      </c>
      <c r="F242" s="7" t="s">
        <v>71</v>
      </c>
      <c r="G242" s="7">
        <v>7</v>
      </c>
      <c r="H242" s="7" t="s">
        <v>579</v>
      </c>
      <c r="I242" s="7" t="s">
        <v>580</v>
      </c>
      <c r="J242" s="7">
        <v>15474.55</v>
      </c>
      <c r="K242" s="7" t="s">
        <v>581</v>
      </c>
      <c r="L242" s="7">
        <v>3839.55</v>
      </c>
      <c r="M242" s="1">
        <v>41760</v>
      </c>
      <c r="N242" s="4">
        <v>5</v>
      </c>
      <c r="O242" s="2" t="s">
        <v>145</v>
      </c>
      <c r="P242" s="4">
        <v>2014</v>
      </c>
      <c r="Q242" t="str">
        <f>IF(Table1[[#This Row],[UnitsSold]]&gt;3000,"Large",IF(Table1[[#This Row],[UnitsSold]]&gt;1500,"Midium","Small"))</f>
        <v>Midium</v>
      </c>
    </row>
    <row r="243" spans="1:17" x14ac:dyDescent="0.3">
      <c r="A243" s="2" t="s">
        <v>57</v>
      </c>
      <c r="B243" s="2" t="s">
        <v>67</v>
      </c>
      <c r="C243" s="2" t="s">
        <v>70</v>
      </c>
      <c r="D243" s="2" t="s">
        <v>506</v>
      </c>
      <c r="E243" s="4">
        <v>991</v>
      </c>
      <c r="F243" s="7" t="s">
        <v>71</v>
      </c>
      <c r="G243" s="7">
        <v>300</v>
      </c>
      <c r="H243" s="7" t="s">
        <v>537</v>
      </c>
      <c r="I243" s="7" t="s">
        <v>538</v>
      </c>
      <c r="J243" s="7" t="s">
        <v>1706</v>
      </c>
      <c r="K243" s="7" t="s">
        <v>539</v>
      </c>
      <c r="L243" s="7">
        <v>34685</v>
      </c>
      <c r="M243" s="1">
        <v>41791</v>
      </c>
      <c r="N243" s="4">
        <v>6</v>
      </c>
      <c r="O243" s="2" t="s">
        <v>34</v>
      </c>
      <c r="P243" s="4">
        <v>2014</v>
      </c>
      <c r="Q243" t="str">
        <f>IF(Table1[[#This Row],[UnitsSold]]&gt;3000,"Large",IF(Table1[[#This Row],[UnitsSold]]&gt;1500,"Midium","Small"))</f>
        <v>Small</v>
      </c>
    </row>
    <row r="244" spans="1:17" x14ac:dyDescent="0.3">
      <c r="A244" s="2" t="s">
        <v>4</v>
      </c>
      <c r="B244" s="2" t="s">
        <v>67</v>
      </c>
      <c r="C244" s="2" t="s">
        <v>70</v>
      </c>
      <c r="D244" s="2" t="s">
        <v>506</v>
      </c>
      <c r="E244" s="4">
        <v>602</v>
      </c>
      <c r="F244" s="7" t="s">
        <v>71</v>
      </c>
      <c r="G244" s="7">
        <v>350</v>
      </c>
      <c r="H244" s="7" t="s">
        <v>582</v>
      </c>
      <c r="I244" s="7" t="s">
        <v>583</v>
      </c>
      <c r="J244" s="7" t="s">
        <v>1714</v>
      </c>
      <c r="K244" s="7" t="s">
        <v>584</v>
      </c>
      <c r="L244" s="7">
        <v>43645</v>
      </c>
      <c r="M244" s="1">
        <v>41791</v>
      </c>
      <c r="N244" s="4">
        <v>6</v>
      </c>
      <c r="O244" s="2" t="s">
        <v>34</v>
      </c>
      <c r="P244" s="4">
        <v>2014</v>
      </c>
      <c r="Q244" t="str">
        <f>IF(Table1[[#This Row],[UnitsSold]]&gt;3000,"Large",IF(Table1[[#This Row],[UnitsSold]]&gt;1500,"Midium","Small"))</f>
        <v>Small</v>
      </c>
    </row>
    <row r="245" spans="1:17" x14ac:dyDescent="0.3">
      <c r="A245" s="2" t="s">
        <v>7</v>
      </c>
      <c r="B245" s="2" t="s">
        <v>8</v>
      </c>
      <c r="C245" s="2" t="s">
        <v>70</v>
      </c>
      <c r="D245" s="2" t="s">
        <v>506</v>
      </c>
      <c r="E245" s="4">
        <v>2620</v>
      </c>
      <c r="F245" s="7" t="s">
        <v>71</v>
      </c>
      <c r="G245" s="7">
        <v>15</v>
      </c>
      <c r="H245" s="7" t="s">
        <v>585</v>
      </c>
      <c r="I245" s="7" t="s">
        <v>586</v>
      </c>
      <c r="J245" s="7">
        <v>37335</v>
      </c>
      <c r="K245" s="7" t="s">
        <v>587</v>
      </c>
      <c r="L245" s="7">
        <v>11135</v>
      </c>
      <c r="M245" s="1">
        <v>41883</v>
      </c>
      <c r="N245" s="4">
        <v>9</v>
      </c>
      <c r="O245" s="2" t="s">
        <v>63</v>
      </c>
      <c r="P245" s="4">
        <v>2014</v>
      </c>
      <c r="Q245" t="str">
        <f>IF(Table1[[#This Row],[UnitsSold]]&gt;3000,"Large",IF(Table1[[#This Row],[UnitsSold]]&gt;1500,"Midium","Small"))</f>
        <v>Midium</v>
      </c>
    </row>
    <row r="246" spans="1:17" x14ac:dyDescent="0.3">
      <c r="A246" s="2" t="s">
        <v>4</v>
      </c>
      <c r="B246" s="2" t="s">
        <v>5</v>
      </c>
      <c r="C246" s="2" t="s">
        <v>70</v>
      </c>
      <c r="D246" s="2" t="s">
        <v>506</v>
      </c>
      <c r="E246" s="4">
        <v>1228</v>
      </c>
      <c r="F246" s="7" t="s">
        <v>71</v>
      </c>
      <c r="G246" s="7">
        <v>350</v>
      </c>
      <c r="H246" s="7" t="s">
        <v>588</v>
      </c>
      <c r="I246" s="7" t="s">
        <v>589</v>
      </c>
      <c r="J246" s="7" t="s">
        <v>1715</v>
      </c>
      <c r="K246" s="7" t="s">
        <v>590</v>
      </c>
      <c r="L246" s="7">
        <v>89030</v>
      </c>
      <c r="M246" s="1">
        <v>41548</v>
      </c>
      <c r="N246" s="4">
        <v>10</v>
      </c>
      <c r="O246" s="2" t="s">
        <v>66</v>
      </c>
      <c r="P246" s="4">
        <v>2013</v>
      </c>
      <c r="Q246" t="str">
        <f>IF(Table1[[#This Row],[UnitsSold]]&gt;3000,"Large",IF(Table1[[#This Row],[UnitsSold]]&gt;1500,"Midium","Small"))</f>
        <v>Small</v>
      </c>
    </row>
    <row r="247" spans="1:17" x14ac:dyDescent="0.3">
      <c r="A247" s="2" t="s">
        <v>4</v>
      </c>
      <c r="B247" s="2" t="s">
        <v>5</v>
      </c>
      <c r="C247" s="2" t="s">
        <v>70</v>
      </c>
      <c r="D247" s="2" t="s">
        <v>506</v>
      </c>
      <c r="E247" s="4">
        <v>1389</v>
      </c>
      <c r="F247" s="7" t="s">
        <v>71</v>
      </c>
      <c r="G247" s="7">
        <v>20</v>
      </c>
      <c r="H247" s="7" t="s">
        <v>592</v>
      </c>
      <c r="I247" s="7" t="s">
        <v>591</v>
      </c>
      <c r="J247" s="7">
        <v>26391</v>
      </c>
      <c r="K247" s="7" t="s">
        <v>593</v>
      </c>
      <c r="L247" s="7">
        <v>12501</v>
      </c>
      <c r="M247" s="1">
        <v>41548</v>
      </c>
      <c r="N247" s="4">
        <v>10</v>
      </c>
      <c r="O247" s="2" t="s">
        <v>66</v>
      </c>
      <c r="P247" s="4">
        <v>2013</v>
      </c>
      <c r="Q247" t="str">
        <f>IF(Table1[[#This Row],[UnitsSold]]&gt;3000,"Large",IF(Table1[[#This Row],[UnitsSold]]&gt;1500,"Midium","Small"))</f>
        <v>Small</v>
      </c>
    </row>
    <row r="248" spans="1:17" x14ac:dyDescent="0.3">
      <c r="A248" s="2" t="s">
        <v>10</v>
      </c>
      <c r="B248" s="2" t="s">
        <v>67</v>
      </c>
      <c r="C248" s="2" t="s">
        <v>70</v>
      </c>
      <c r="D248" s="2" t="s">
        <v>506</v>
      </c>
      <c r="E248" s="4">
        <v>861</v>
      </c>
      <c r="F248" s="7" t="s">
        <v>71</v>
      </c>
      <c r="G248" s="7">
        <v>125</v>
      </c>
      <c r="H248" s="7" t="s">
        <v>594</v>
      </c>
      <c r="I248" s="7" t="s">
        <v>595</v>
      </c>
      <c r="J248" s="7" t="s">
        <v>1716</v>
      </c>
      <c r="K248" s="7" t="s">
        <v>596</v>
      </c>
      <c r="L248" s="7">
        <v>1076.25</v>
      </c>
      <c r="M248" s="1">
        <v>41913</v>
      </c>
      <c r="N248" s="4">
        <v>10</v>
      </c>
      <c r="O248" s="2" t="s">
        <v>66</v>
      </c>
      <c r="P248" s="4">
        <v>2014</v>
      </c>
      <c r="Q248" t="str">
        <f>IF(Table1[[#This Row],[UnitsSold]]&gt;3000,"Large",IF(Table1[[#This Row],[UnitsSold]]&gt;1500,"Midium","Small"))</f>
        <v>Small</v>
      </c>
    </row>
    <row r="249" spans="1:17" x14ac:dyDescent="0.3">
      <c r="A249" s="2" t="s">
        <v>10</v>
      </c>
      <c r="B249" s="2" t="s">
        <v>8</v>
      </c>
      <c r="C249" s="2" t="s">
        <v>70</v>
      </c>
      <c r="D249" s="2" t="s">
        <v>506</v>
      </c>
      <c r="E249" s="4">
        <v>704</v>
      </c>
      <c r="F249" s="7" t="s">
        <v>71</v>
      </c>
      <c r="G249" s="7">
        <v>125</v>
      </c>
      <c r="H249" s="7" t="s">
        <v>597</v>
      </c>
      <c r="I249" s="7" t="s">
        <v>598</v>
      </c>
      <c r="J249" s="7">
        <v>83600</v>
      </c>
      <c r="K249" s="7" t="s">
        <v>599</v>
      </c>
      <c r="L249" s="7">
        <v>880</v>
      </c>
      <c r="M249" s="1">
        <v>41548</v>
      </c>
      <c r="N249" s="4">
        <v>10</v>
      </c>
      <c r="O249" s="2" t="s">
        <v>66</v>
      </c>
      <c r="P249" s="4">
        <v>2013</v>
      </c>
      <c r="Q249" t="str">
        <f>IF(Table1[[#This Row],[UnitsSold]]&gt;3000,"Large",IF(Table1[[#This Row],[UnitsSold]]&gt;1500,"Midium","Small"))</f>
        <v>Small</v>
      </c>
    </row>
    <row r="250" spans="1:17" x14ac:dyDescent="0.3">
      <c r="A250" s="2" t="s">
        <v>4</v>
      </c>
      <c r="B250" s="2" t="s">
        <v>5</v>
      </c>
      <c r="C250" s="2" t="s">
        <v>70</v>
      </c>
      <c r="D250" s="2" t="s">
        <v>506</v>
      </c>
      <c r="E250" s="4">
        <v>1802</v>
      </c>
      <c r="F250" s="7" t="s">
        <v>71</v>
      </c>
      <c r="G250" s="7">
        <v>20</v>
      </c>
      <c r="H250" s="7" t="s">
        <v>601</v>
      </c>
      <c r="I250" s="7" t="s">
        <v>600</v>
      </c>
      <c r="J250" s="7">
        <v>34238</v>
      </c>
      <c r="K250" s="7" t="s">
        <v>602</v>
      </c>
      <c r="L250" s="7">
        <v>16218</v>
      </c>
      <c r="M250" s="1">
        <v>41609</v>
      </c>
      <c r="N250" s="4">
        <v>12</v>
      </c>
      <c r="O250" s="2" t="s">
        <v>41</v>
      </c>
      <c r="P250" s="4">
        <v>2013</v>
      </c>
      <c r="Q250" t="str">
        <f>IF(Table1[[#This Row],[UnitsSold]]&gt;3000,"Large",IF(Table1[[#This Row],[UnitsSold]]&gt;1500,"Midium","Small"))</f>
        <v>Midium</v>
      </c>
    </row>
    <row r="251" spans="1:17" x14ac:dyDescent="0.3">
      <c r="A251" s="2" t="s">
        <v>4</v>
      </c>
      <c r="B251" s="2" t="s">
        <v>67</v>
      </c>
      <c r="C251" s="2" t="s">
        <v>70</v>
      </c>
      <c r="D251" s="2" t="s">
        <v>506</v>
      </c>
      <c r="E251" s="4">
        <v>2663</v>
      </c>
      <c r="F251" s="7" t="s">
        <v>71</v>
      </c>
      <c r="G251" s="7">
        <v>20</v>
      </c>
      <c r="H251" s="7" t="s">
        <v>604</v>
      </c>
      <c r="I251" s="7" t="s">
        <v>603</v>
      </c>
      <c r="J251" s="7">
        <v>50597</v>
      </c>
      <c r="K251" s="7" t="s">
        <v>605</v>
      </c>
      <c r="L251" s="7">
        <v>23967</v>
      </c>
      <c r="M251" s="1">
        <v>41974</v>
      </c>
      <c r="N251" s="4">
        <v>12</v>
      </c>
      <c r="O251" s="2" t="s">
        <v>41</v>
      </c>
      <c r="P251" s="4">
        <v>2014</v>
      </c>
      <c r="Q251" t="str">
        <f>IF(Table1[[#This Row],[UnitsSold]]&gt;3000,"Large",IF(Table1[[#This Row],[UnitsSold]]&gt;1500,"Midium","Small"))</f>
        <v>Midium</v>
      </c>
    </row>
    <row r="252" spans="1:17" x14ac:dyDescent="0.3">
      <c r="A252" s="2" t="s">
        <v>4</v>
      </c>
      <c r="B252" s="2" t="s">
        <v>8</v>
      </c>
      <c r="C252" s="2" t="s">
        <v>70</v>
      </c>
      <c r="D252" s="2" t="s">
        <v>506</v>
      </c>
      <c r="E252" s="4">
        <v>2136</v>
      </c>
      <c r="F252" s="7" t="s">
        <v>71</v>
      </c>
      <c r="G252" s="7">
        <v>7</v>
      </c>
      <c r="H252" s="7" t="s">
        <v>606</v>
      </c>
      <c r="I252" s="7" t="s">
        <v>607</v>
      </c>
      <c r="J252" s="7">
        <v>14204.4</v>
      </c>
      <c r="K252" s="7" t="s">
        <v>608</v>
      </c>
      <c r="L252" s="7">
        <v>3524.4</v>
      </c>
      <c r="M252" s="1">
        <v>41609</v>
      </c>
      <c r="N252" s="4">
        <v>12</v>
      </c>
      <c r="O252" s="2" t="s">
        <v>41</v>
      </c>
      <c r="P252" s="4">
        <v>2013</v>
      </c>
      <c r="Q252" t="str">
        <f>IF(Table1[[#This Row],[UnitsSold]]&gt;3000,"Large",IF(Table1[[#This Row],[UnitsSold]]&gt;1500,"Midium","Small"))</f>
        <v>Midium</v>
      </c>
    </row>
    <row r="253" spans="1:17" x14ac:dyDescent="0.3">
      <c r="A253" s="2" t="s">
        <v>7</v>
      </c>
      <c r="B253" s="2" t="s">
        <v>6</v>
      </c>
      <c r="C253" s="2" t="s">
        <v>70</v>
      </c>
      <c r="D253" s="2" t="s">
        <v>506</v>
      </c>
      <c r="E253" s="4">
        <v>2116</v>
      </c>
      <c r="F253" s="7" t="s">
        <v>71</v>
      </c>
      <c r="G253" s="7">
        <v>15</v>
      </c>
      <c r="H253" s="7" t="s">
        <v>609</v>
      </c>
      <c r="I253" s="7" t="s">
        <v>610</v>
      </c>
      <c r="J253" s="7">
        <v>30153</v>
      </c>
      <c r="K253" s="7" t="s">
        <v>611</v>
      </c>
      <c r="L253" s="7">
        <v>8993</v>
      </c>
      <c r="M253" s="1">
        <v>41609</v>
      </c>
      <c r="N253" s="4">
        <v>12</v>
      </c>
      <c r="O253" s="2" t="s">
        <v>41</v>
      </c>
      <c r="P253" s="4">
        <v>2013</v>
      </c>
      <c r="Q253" t="str">
        <f>IF(Table1[[#This Row],[UnitsSold]]&gt;3000,"Large",IF(Table1[[#This Row],[UnitsSold]]&gt;1500,"Midium","Small"))</f>
        <v>Midium</v>
      </c>
    </row>
    <row r="254" spans="1:17" x14ac:dyDescent="0.3">
      <c r="A254" s="2" t="s">
        <v>7</v>
      </c>
      <c r="B254" s="2" t="s">
        <v>67</v>
      </c>
      <c r="C254" s="2" t="s">
        <v>101</v>
      </c>
      <c r="D254" s="2" t="s">
        <v>506</v>
      </c>
      <c r="E254" s="4">
        <v>555</v>
      </c>
      <c r="F254" s="7" t="s">
        <v>102</v>
      </c>
      <c r="G254" s="7">
        <v>15</v>
      </c>
      <c r="H254" s="7" t="s">
        <v>612</v>
      </c>
      <c r="I254" s="7" t="s">
        <v>613</v>
      </c>
      <c r="J254" s="7">
        <v>7908.75</v>
      </c>
      <c r="K254" s="7" t="s">
        <v>614</v>
      </c>
      <c r="L254" s="7">
        <v>2358.75</v>
      </c>
      <c r="M254" s="1">
        <v>41640</v>
      </c>
      <c r="N254" s="4">
        <v>1</v>
      </c>
      <c r="O254" s="2" t="s">
        <v>29</v>
      </c>
      <c r="P254" s="4">
        <v>2014</v>
      </c>
      <c r="Q254" t="str">
        <f>IF(Table1[[#This Row],[UnitsSold]]&gt;3000,"Large",IF(Table1[[#This Row],[UnitsSold]]&gt;1500,"Midium","Small"))</f>
        <v>Small</v>
      </c>
    </row>
    <row r="255" spans="1:17" x14ac:dyDescent="0.3">
      <c r="A255" s="2" t="s">
        <v>7</v>
      </c>
      <c r="B255" s="2" t="s">
        <v>9</v>
      </c>
      <c r="C255" s="2" t="s">
        <v>101</v>
      </c>
      <c r="D255" s="2" t="s">
        <v>506</v>
      </c>
      <c r="E255" s="4">
        <v>2861</v>
      </c>
      <c r="F255" s="7" t="s">
        <v>102</v>
      </c>
      <c r="G255" s="7">
        <v>15</v>
      </c>
      <c r="H255" s="7" t="s">
        <v>615</v>
      </c>
      <c r="I255" s="7" t="s">
        <v>616</v>
      </c>
      <c r="J255" s="7">
        <v>40769.25</v>
      </c>
      <c r="K255" s="7" t="s">
        <v>617</v>
      </c>
      <c r="L255" s="7">
        <v>12159.25</v>
      </c>
      <c r="M255" s="1">
        <v>41640</v>
      </c>
      <c r="N255" s="4">
        <v>1</v>
      </c>
      <c r="O255" s="2" t="s">
        <v>29</v>
      </c>
      <c r="P255" s="4">
        <v>2014</v>
      </c>
      <c r="Q255" t="str">
        <f>IF(Table1[[#This Row],[UnitsSold]]&gt;3000,"Large",IF(Table1[[#This Row],[UnitsSold]]&gt;1500,"Midium","Small"))</f>
        <v>Midium</v>
      </c>
    </row>
    <row r="256" spans="1:17" x14ac:dyDescent="0.3">
      <c r="A256" s="2" t="s">
        <v>10</v>
      </c>
      <c r="B256" s="2" t="s">
        <v>6</v>
      </c>
      <c r="C256" s="2" t="s">
        <v>101</v>
      </c>
      <c r="D256" s="2" t="s">
        <v>506</v>
      </c>
      <c r="E256" s="4">
        <v>807</v>
      </c>
      <c r="F256" s="7" t="s">
        <v>102</v>
      </c>
      <c r="G256" s="7">
        <v>125</v>
      </c>
      <c r="H256" s="7" t="s">
        <v>618</v>
      </c>
      <c r="I256" s="7" t="s">
        <v>619</v>
      </c>
      <c r="J256" s="7">
        <v>95831.25</v>
      </c>
      <c r="K256" s="7" t="s">
        <v>620</v>
      </c>
      <c r="L256" s="7">
        <v>1008.75</v>
      </c>
      <c r="M256" s="1">
        <v>41671</v>
      </c>
      <c r="N256" s="4">
        <v>2</v>
      </c>
      <c r="O256" s="2" t="s">
        <v>74</v>
      </c>
      <c r="P256" s="4">
        <v>2014</v>
      </c>
      <c r="Q256" t="str">
        <f>IF(Table1[[#This Row],[UnitsSold]]&gt;3000,"Large",IF(Table1[[#This Row],[UnitsSold]]&gt;1500,"Midium","Small"))</f>
        <v>Small</v>
      </c>
    </row>
    <row r="257" spans="1:17" x14ac:dyDescent="0.3">
      <c r="A257" s="2" t="s">
        <v>4</v>
      </c>
      <c r="B257" s="2" t="s">
        <v>67</v>
      </c>
      <c r="C257" s="2" t="s">
        <v>101</v>
      </c>
      <c r="D257" s="2" t="s">
        <v>506</v>
      </c>
      <c r="E257" s="4">
        <v>602</v>
      </c>
      <c r="F257" s="7" t="s">
        <v>102</v>
      </c>
      <c r="G257" s="7">
        <v>350</v>
      </c>
      <c r="H257" s="7" t="s">
        <v>582</v>
      </c>
      <c r="I257" s="7" t="s">
        <v>583</v>
      </c>
      <c r="J257" s="7" t="s">
        <v>1714</v>
      </c>
      <c r="K257" s="7" t="s">
        <v>584</v>
      </c>
      <c r="L257" s="7">
        <v>43645</v>
      </c>
      <c r="M257" s="1">
        <v>41791</v>
      </c>
      <c r="N257" s="4">
        <v>6</v>
      </c>
      <c r="O257" s="2" t="s">
        <v>34</v>
      </c>
      <c r="P257" s="4">
        <v>2014</v>
      </c>
      <c r="Q257" t="str">
        <f>IF(Table1[[#This Row],[UnitsSold]]&gt;3000,"Large",IF(Table1[[#This Row],[UnitsSold]]&gt;1500,"Midium","Small"))</f>
        <v>Small</v>
      </c>
    </row>
    <row r="258" spans="1:17" x14ac:dyDescent="0.3">
      <c r="A258" s="2" t="s">
        <v>4</v>
      </c>
      <c r="B258" s="2" t="s">
        <v>67</v>
      </c>
      <c r="C258" s="2" t="s">
        <v>101</v>
      </c>
      <c r="D258" s="2" t="s">
        <v>506</v>
      </c>
      <c r="E258" s="4">
        <v>2832</v>
      </c>
      <c r="F258" s="7" t="s">
        <v>102</v>
      </c>
      <c r="G258" s="7">
        <v>20</v>
      </c>
      <c r="H258" s="7" t="s">
        <v>622</v>
      </c>
      <c r="I258" s="7" t="s">
        <v>621</v>
      </c>
      <c r="J258" s="7">
        <v>53808</v>
      </c>
      <c r="K258" s="7" t="s">
        <v>623</v>
      </c>
      <c r="L258" s="7">
        <v>25488</v>
      </c>
      <c r="M258" s="1">
        <v>41852</v>
      </c>
      <c r="N258" s="4">
        <v>8</v>
      </c>
      <c r="O258" s="2" t="s">
        <v>60</v>
      </c>
      <c r="P258" s="4">
        <v>2014</v>
      </c>
      <c r="Q258" t="str">
        <f>IF(Table1[[#This Row],[UnitsSold]]&gt;3000,"Large",IF(Table1[[#This Row],[UnitsSold]]&gt;1500,"Midium","Small"))</f>
        <v>Midium</v>
      </c>
    </row>
    <row r="259" spans="1:17" x14ac:dyDescent="0.3">
      <c r="A259" s="2" t="s">
        <v>4</v>
      </c>
      <c r="B259" s="2" t="s">
        <v>8</v>
      </c>
      <c r="C259" s="2" t="s">
        <v>101</v>
      </c>
      <c r="D259" s="2" t="s">
        <v>506</v>
      </c>
      <c r="E259" s="4">
        <v>1579</v>
      </c>
      <c r="F259" s="7" t="s">
        <v>102</v>
      </c>
      <c r="G259" s="7">
        <v>20</v>
      </c>
      <c r="H259" s="7" t="s">
        <v>625</v>
      </c>
      <c r="I259" s="7" t="s">
        <v>624</v>
      </c>
      <c r="J259" s="7">
        <v>30001</v>
      </c>
      <c r="K259" s="7" t="s">
        <v>626</v>
      </c>
      <c r="L259" s="7">
        <v>14211</v>
      </c>
      <c r="M259" s="1">
        <v>41852</v>
      </c>
      <c r="N259" s="4">
        <v>8</v>
      </c>
      <c r="O259" s="2" t="s">
        <v>60</v>
      </c>
      <c r="P259" s="4">
        <v>2014</v>
      </c>
      <c r="Q259" t="str">
        <f>IF(Table1[[#This Row],[UnitsSold]]&gt;3000,"Large",IF(Table1[[#This Row],[UnitsSold]]&gt;1500,"Midium","Small"))</f>
        <v>Midium</v>
      </c>
    </row>
    <row r="260" spans="1:17" x14ac:dyDescent="0.3">
      <c r="A260" s="2" t="s">
        <v>10</v>
      </c>
      <c r="B260" s="2" t="s">
        <v>67</v>
      </c>
      <c r="C260" s="2" t="s">
        <v>101</v>
      </c>
      <c r="D260" s="2" t="s">
        <v>506</v>
      </c>
      <c r="E260" s="4">
        <v>861</v>
      </c>
      <c r="F260" s="7" t="s">
        <v>102</v>
      </c>
      <c r="G260" s="7">
        <v>125</v>
      </c>
      <c r="H260" s="7" t="s">
        <v>594</v>
      </c>
      <c r="I260" s="7" t="s">
        <v>595</v>
      </c>
      <c r="J260" s="7" t="s">
        <v>1716</v>
      </c>
      <c r="K260" s="7" t="s">
        <v>596</v>
      </c>
      <c r="L260" s="7">
        <v>1076.25</v>
      </c>
      <c r="M260" s="1">
        <v>41913</v>
      </c>
      <c r="N260" s="4">
        <v>10</v>
      </c>
      <c r="O260" s="2" t="s">
        <v>66</v>
      </c>
      <c r="P260" s="4">
        <v>2014</v>
      </c>
      <c r="Q260" t="str">
        <f>IF(Table1[[#This Row],[UnitsSold]]&gt;3000,"Large",IF(Table1[[#This Row],[UnitsSold]]&gt;1500,"Midium","Small"))</f>
        <v>Small</v>
      </c>
    </row>
    <row r="261" spans="1:17" x14ac:dyDescent="0.3">
      <c r="A261" s="2" t="s">
        <v>10</v>
      </c>
      <c r="B261" s="2" t="s">
        <v>8</v>
      </c>
      <c r="C261" s="2" t="s">
        <v>101</v>
      </c>
      <c r="D261" s="2" t="s">
        <v>506</v>
      </c>
      <c r="E261" s="4">
        <v>704</v>
      </c>
      <c r="F261" s="7" t="s">
        <v>102</v>
      </c>
      <c r="G261" s="7">
        <v>125</v>
      </c>
      <c r="H261" s="7" t="s">
        <v>597</v>
      </c>
      <c r="I261" s="7" t="s">
        <v>598</v>
      </c>
      <c r="J261" s="7">
        <v>83600</v>
      </c>
      <c r="K261" s="7" t="s">
        <v>599</v>
      </c>
      <c r="L261" s="7">
        <v>880</v>
      </c>
      <c r="M261" s="1">
        <v>41548</v>
      </c>
      <c r="N261" s="4">
        <v>10</v>
      </c>
      <c r="O261" s="2" t="s">
        <v>66</v>
      </c>
      <c r="P261" s="4">
        <v>2013</v>
      </c>
      <c r="Q261" t="str">
        <f>IF(Table1[[#This Row],[UnitsSold]]&gt;3000,"Large",IF(Table1[[#This Row],[UnitsSold]]&gt;1500,"Midium","Small"))</f>
        <v>Small</v>
      </c>
    </row>
    <row r="262" spans="1:17" x14ac:dyDescent="0.3">
      <c r="A262" s="2" t="s">
        <v>4</v>
      </c>
      <c r="B262" s="2" t="s">
        <v>8</v>
      </c>
      <c r="C262" s="2" t="s">
        <v>101</v>
      </c>
      <c r="D262" s="2" t="s">
        <v>506</v>
      </c>
      <c r="E262" s="4">
        <v>1033</v>
      </c>
      <c r="F262" s="7" t="s">
        <v>102</v>
      </c>
      <c r="G262" s="7">
        <v>20</v>
      </c>
      <c r="H262" s="7" t="s">
        <v>628</v>
      </c>
      <c r="I262" s="7" t="s">
        <v>627</v>
      </c>
      <c r="J262" s="7">
        <v>19627</v>
      </c>
      <c r="K262" s="7" t="s">
        <v>629</v>
      </c>
      <c r="L262" s="7">
        <v>9297</v>
      </c>
      <c r="M262" s="1">
        <v>41609</v>
      </c>
      <c r="N262" s="4">
        <v>12</v>
      </c>
      <c r="O262" s="2" t="s">
        <v>41</v>
      </c>
      <c r="P262" s="4">
        <v>2013</v>
      </c>
      <c r="Q262" t="str">
        <f>IF(Table1[[#This Row],[UnitsSold]]&gt;3000,"Large",IF(Table1[[#This Row],[UnitsSold]]&gt;1500,"Midium","Small"))</f>
        <v>Small</v>
      </c>
    </row>
    <row r="263" spans="1:17" x14ac:dyDescent="0.3">
      <c r="A263" s="2" t="s">
        <v>57</v>
      </c>
      <c r="B263" s="2" t="s">
        <v>6</v>
      </c>
      <c r="C263" s="2" t="s">
        <v>101</v>
      </c>
      <c r="D263" s="2" t="s">
        <v>506</v>
      </c>
      <c r="E263" s="4">
        <v>1250</v>
      </c>
      <c r="F263" s="7" t="s">
        <v>102</v>
      </c>
      <c r="G263" s="7">
        <v>300</v>
      </c>
      <c r="H263" s="7" t="s">
        <v>630</v>
      </c>
      <c r="I263" s="7" t="s">
        <v>631</v>
      </c>
      <c r="J263" s="7" t="s">
        <v>1717</v>
      </c>
      <c r="K263" s="7" t="s">
        <v>632</v>
      </c>
      <c r="L263" s="7">
        <v>43750</v>
      </c>
      <c r="M263" s="1">
        <v>41974</v>
      </c>
      <c r="N263" s="4">
        <v>12</v>
      </c>
      <c r="O263" s="2" t="s">
        <v>41</v>
      </c>
      <c r="P263" s="4">
        <v>2014</v>
      </c>
      <c r="Q263" t="str">
        <f>IF(Table1[[#This Row],[UnitsSold]]&gt;3000,"Large",IF(Table1[[#This Row],[UnitsSold]]&gt;1500,"Midium","Small"))</f>
        <v>Small</v>
      </c>
    </row>
    <row r="264" spans="1:17" x14ac:dyDescent="0.3">
      <c r="A264" s="2" t="s">
        <v>4</v>
      </c>
      <c r="B264" s="2" t="s">
        <v>5</v>
      </c>
      <c r="C264" s="2" t="s">
        <v>111</v>
      </c>
      <c r="D264" s="2" t="s">
        <v>506</v>
      </c>
      <c r="E264" s="4">
        <v>1389</v>
      </c>
      <c r="F264" s="7" t="s">
        <v>112</v>
      </c>
      <c r="G264" s="7">
        <v>20</v>
      </c>
      <c r="H264" s="7" t="s">
        <v>592</v>
      </c>
      <c r="I264" s="7" t="s">
        <v>591</v>
      </c>
      <c r="J264" s="7">
        <v>26391</v>
      </c>
      <c r="K264" s="7" t="s">
        <v>593</v>
      </c>
      <c r="L264" s="7">
        <v>12501</v>
      </c>
      <c r="M264" s="1">
        <v>41548</v>
      </c>
      <c r="N264" s="4">
        <v>10</v>
      </c>
      <c r="O264" s="2" t="s">
        <v>66</v>
      </c>
      <c r="P264" s="4">
        <v>2013</v>
      </c>
      <c r="Q264" t="str">
        <f>IF(Table1[[#This Row],[UnitsSold]]&gt;3000,"Large",IF(Table1[[#This Row],[UnitsSold]]&gt;1500,"Midium","Small"))</f>
        <v>Small</v>
      </c>
    </row>
    <row r="265" spans="1:17" x14ac:dyDescent="0.3">
      <c r="A265" s="2" t="s">
        <v>4</v>
      </c>
      <c r="B265" s="2" t="s">
        <v>67</v>
      </c>
      <c r="C265" s="2" t="s">
        <v>111</v>
      </c>
      <c r="D265" s="2" t="s">
        <v>506</v>
      </c>
      <c r="E265" s="4">
        <v>1265</v>
      </c>
      <c r="F265" s="7" t="s">
        <v>112</v>
      </c>
      <c r="G265" s="7">
        <v>20</v>
      </c>
      <c r="H265" s="7" t="s">
        <v>634</v>
      </c>
      <c r="I265" s="7" t="s">
        <v>633</v>
      </c>
      <c r="J265" s="7">
        <v>24035</v>
      </c>
      <c r="K265" s="7" t="s">
        <v>635</v>
      </c>
      <c r="L265" s="7">
        <v>11385</v>
      </c>
      <c r="M265" s="1">
        <v>41579</v>
      </c>
      <c r="N265" s="4">
        <v>11</v>
      </c>
      <c r="O265" s="2" t="s">
        <v>94</v>
      </c>
      <c r="P265" s="4">
        <v>2013</v>
      </c>
      <c r="Q265" t="str">
        <f>IF(Table1[[#This Row],[UnitsSold]]&gt;3000,"Large",IF(Table1[[#This Row],[UnitsSold]]&gt;1500,"Midium","Small"))</f>
        <v>Small</v>
      </c>
    </row>
    <row r="266" spans="1:17" x14ac:dyDescent="0.3">
      <c r="A266" s="2" t="s">
        <v>4</v>
      </c>
      <c r="B266" s="2" t="s">
        <v>6</v>
      </c>
      <c r="C266" s="2" t="s">
        <v>111</v>
      </c>
      <c r="D266" s="2" t="s">
        <v>506</v>
      </c>
      <c r="E266" s="4">
        <v>2297</v>
      </c>
      <c r="F266" s="7" t="s">
        <v>112</v>
      </c>
      <c r="G266" s="7">
        <v>20</v>
      </c>
      <c r="H266" s="7" t="s">
        <v>637</v>
      </c>
      <c r="I266" s="7" t="s">
        <v>636</v>
      </c>
      <c r="J266" s="7">
        <v>43643</v>
      </c>
      <c r="K266" s="7" t="s">
        <v>638</v>
      </c>
      <c r="L266" s="7">
        <v>20673</v>
      </c>
      <c r="M266" s="1">
        <v>41579</v>
      </c>
      <c r="N266" s="4">
        <v>11</v>
      </c>
      <c r="O266" s="2" t="s">
        <v>94</v>
      </c>
      <c r="P266" s="4">
        <v>2013</v>
      </c>
      <c r="Q266" t="str">
        <f>IF(Table1[[#This Row],[UnitsSold]]&gt;3000,"Large",IF(Table1[[#This Row],[UnitsSold]]&gt;1500,"Midium","Small"))</f>
        <v>Midium</v>
      </c>
    </row>
    <row r="267" spans="1:17" x14ac:dyDescent="0.3">
      <c r="A267" s="2" t="s">
        <v>4</v>
      </c>
      <c r="B267" s="2" t="s">
        <v>67</v>
      </c>
      <c r="C267" s="2" t="s">
        <v>111</v>
      </c>
      <c r="D267" s="2" t="s">
        <v>506</v>
      </c>
      <c r="E267" s="4">
        <v>2663</v>
      </c>
      <c r="F267" s="7" t="s">
        <v>112</v>
      </c>
      <c r="G267" s="7">
        <v>20</v>
      </c>
      <c r="H267" s="7" t="s">
        <v>604</v>
      </c>
      <c r="I267" s="7" t="s">
        <v>603</v>
      </c>
      <c r="J267" s="7">
        <v>50597</v>
      </c>
      <c r="K267" s="7" t="s">
        <v>605</v>
      </c>
      <c r="L267" s="7">
        <v>23967</v>
      </c>
      <c r="M267" s="1">
        <v>41974</v>
      </c>
      <c r="N267" s="4">
        <v>12</v>
      </c>
      <c r="O267" s="2" t="s">
        <v>41</v>
      </c>
      <c r="P267" s="4">
        <v>2014</v>
      </c>
      <c r="Q267" t="str">
        <f>IF(Table1[[#This Row],[UnitsSold]]&gt;3000,"Large",IF(Table1[[#This Row],[UnitsSold]]&gt;1500,"Midium","Small"))</f>
        <v>Midium</v>
      </c>
    </row>
    <row r="268" spans="1:17" x14ac:dyDescent="0.3">
      <c r="A268" s="2" t="s">
        <v>4</v>
      </c>
      <c r="B268" s="2" t="s">
        <v>67</v>
      </c>
      <c r="C268" s="2" t="s">
        <v>111</v>
      </c>
      <c r="D268" s="2" t="s">
        <v>506</v>
      </c>
      <c r="E268" s="4">
        <v>570</v>
      </c>
      <c r="F268" s="7" t="s">
        <v>112</v>
      </c>
      <c r="G268" s="7">
        <v>7</v>
      </c>
      <c r="H268" s="7" t="s">
        <v>546</v>
      </c>
      <c r="I268" s="7" t="s">
        <v>547</v>
      </c>
      <c r="J268" s="7">
        <v>3790.5</v>
      </c>
      <c r="K268" s="7" t="s">
        <v>548</v>
      </c>
      <c r="L268" s="7">
        <v>940.5</v>
      </c>
      <c r="M268" s="1">
        <v>41974</v>
      </c>
      <c r="N268" s="4">
        <v>12</v>
      </c>
      <c r="O268" s="2" t="s">
        <v>41</v>
      </c>
      <c r="P268" s="4">
        <v>2014</v>
      </c>
      <c r="Q268" t="str">
        <f>IF(Table1[[#This Row],[UnitsSold]]&gt;3000,"Large",IF(Table1[[#This Row],[UnitsSold]]&gt;1500,"Midium","Small"))</f>
        <v>Small</v>
      </c>
    </row>
    <row r="269" spans="1:17" x14ac:dyDescent="0.3">
      <c r="A269" s="2" t="s">
        <v>4</v>
      </c>
      <c r="B269" s="2" t="s">
        <v>8</v>
      </c>
      <c r="C269" s="2" t="s">
        <v>111</v>
      </c>
      <c r="D269" s="2" t="s">
        <v>506</v>
      </c>
      <c r="E269" s="4">
        <v>2487</v>
      </c>
      <c r="F269" s="7" t="s">
        <v>112</v>
      </c>
      <c r="G269" s="7">
        <v>7</v>
      </c>
      <c r="H269" s="7" t="s">
        <v>549</v>
      </c>
      <c r="I269" s="7" t="s">
        <v>550</v>
      </c>
      <c r="J269" s="7">
        <v>16538.55</v>
      </c>
      <c r="K269" s="7" t="s">
        <v>551</v>
      </c>
      <c r="L269" s="7">
        <v>4103.55</v>
      </c>
      <c r="M269" s="1">
        <v>41974</v>
      </c>
      <c r="N269" s="4">
        <v>12</v>
      </c>
      <c r="O269" s="2" t="s">
        <v>41</v>
      </c>
      <c r="P269" s="4">
        <v>2014</v>
      </c>
      <c r="Q269" t="str">
        <f>IF(Table1[[#This Row],[UnitsSold]]&gt;3000,"Large",IF(Table1[[#This Row],[UnitsSold]]&gt;1500,"Midium","Small"))</f>
        <v>Midium</v>
      </c>
    </row>
    <row r="270" spans="1:17" x14ac:dyDescent="0.3">
      <c r="A270" s="2" t="s">
        <v>4</v>
      </c>
      <c r="B270" s="2" t="s">
        <v>6</v>
      </c>
      <c r="C270" s="2" t="s">
        <v>122</v>
      </c>
      <c r="D270" s="2" t="s">
        <v>506</v>
      </c>
      <c r="E270" s="4">
        <v>1350</v>
      </c>
      <c r="F270" s="7" t="s">
        <v>123</v>
      </c>
      <c r="G270" s="7">
        <v>350</v>
      </c>
      <c r="H270" s="7" t="s">
        <v>639</v>
      </c>
      <c r="I270" s="7" t="s">
        <v>640</v>
      </c>
      <c r="J270" s="7" t="s">
        <v>1718</v>
      </c>
      <c r="K270" s="7" t="s">
        <v>641</v>
      </c>
      <c r="L270" s="7">
        <v>97875</v>
      </c>
      <c r="M270" s="1">
        <v>41671</v>
      </c>
      <c r="N270" s="4">
        <v>2</v>
      </c>
      <c r="O270" s="2" t="s">
        <v>74</v>
      </c>
      <c r="P270" s="4">
        <v>2014</v>
      </c>
      <c r="Q270" t="str">
        <f>IF(Table1[[#This Row],[UnitsSold]]&gt;3000,"Large",IF(Table1[[#This Row],[UnitsSold]]&gt;1500,"Midium","Small"))</f>
        <v>Small</v>
      </c>
    </row>
    <row r="271" spans="1:17" x14ac:dyDescent="0.3">
      <c r="A271" s="2" t="s">
        <v>4</v>
      </c>
      <c r="B271" s="2" t="s">
        <v>5</v>
      </c>
      <c r="C271" s="2" t="s">
        <v>122</v>
      </c>
      <c r="D271" s="2" t="s">
        <v>506</v>
      </c>
      <c r="E271" s="4">
        <v>552</v>
      </c>
      <c r="F271" s="7" t="s">
        <v>123</v>
      </c>
      <c r="G271" s="7">
        <v>350</v>
      </c>
      <c r="H271" s="7" t="s">
        <v>642</v>
      </c>
      <c r="I271" s="7" t="s">
        <v>643</v>
      </c>
      <c r="J271" s="7" t="s">
        <v>1719</v>
      </c>
      <c r="K271" s="7" t="s">
        <v>644</v>
      </c>
      <c r="L271" s="7">
        <v>40020</v>
      </c>
      <c r="M271" s="1">
        <v>41852</v>
      </c>
      <c r="N271" s="4">
        <v>8</v>
      </c>
      <c r="O271" s="2" t="s">
        <v>60</v>
      </c>
      <c r="P271" s="4">
        <v>2014</v>
      </c>
      <c r="Q271" t="str">
        <f>IF(Table1[[#This Row],[UnitsSold]]&gt;3000,"Large",IF(Table1[[#This Row],[UnitsSold]]&gt;1500,"Midium","Small"))</f>
        <v>Small</v>
      </c>
    </row>
    <row r="272" spans="1:17" x14ac:dyDescent="0.3">
      <c r="A272" s="2" t="s">
        <v>4</v>
      </c>
      <c r="B272" s="2" t="s">
        <v>5</v>
      </c>
      <c r="C272" s="2" t="s">
        <v>122</v>
      </c>
      <c r="D272" s="2" t="s">
        <v>506</v>
      </c>
      <c r="E272" s="4">
        <v>1228</v>
      </c>
      <c r="F272" s="7" t="s">
        <v>123</v>
      </c>
      <c r="G272" s="7">
        <v>350</v>
      </c>
      <c r="H272" s="7" t="s">
        <v>588</v>
      </c>
      <c r="I272" s="7" t="s">
        <v>589</v>
      </c>
      <c r="J272" s="7" t="s">
        <v>1715</v>
      </c>
      <c r="K272" s="7" t="s">
        <v>590</v>
      </c>
      <c r="L272" s="7">
        <v>89030</v>
      </c>
      <c r="M272" s="1">
        <v>41548</v>
      </c>
      <c r="N272" s="4">
        <v>10</v>
      </c>
      <c r="O272" s="2" t="s">
        <v>66</v>
      </c>
      <c r="P272" s="4">
        <v>2013</v>
      </c>
      <c r="Q272" t="str">
        <f>IF(Table1[[#This Row],[UnitsSold]]&gt;3000,"Large",IF(Table1[[#This Row],[UnitsSold]]&gt;1500,"Midium","Small"))</f>
        <v>Small</v>
      </c>
    </row>
    <row r="273" spans="1:17" x14ac:dyDescent="0.3">
      <c r="A273" s="2" t="s">
        <v>57</v>
      </c>
      <c r="B273" s="2" t="s">
        <v>6</v>
      </c>
      <c r="C273" s="2" t="s">
        <v>122</v>
      </c>
      <c r="D273" s="2" t="s">
        <v>506</v>
      </c>
      <c r="E273" s="4">
        <v>1250</v>
      </c>
      <c r="F273" s="7" t="s">
        <v>123</v>
      </c>
      <c r="G273" s="7">
        <v>300</v>
      </c>
      <c r="H273" s="7" t="s">
        <v>630</v>
      </c>
      <c r="I273" s="7" t="s">
        <v>631</v>
      </c>
      <c r="J273" s="7" t="s">
        <v>1717</v>
      </c>
      <c r="K273" s="7" t="s">
        <v>632</v>
      </c>
      <c r="L273" s="7">
        <v>43750</v>
      </c>
      <c r="M273" s="1">
        <v>41974</v>
      </c>
      <c r="N273" s="4">
        <v>12</v>
      </c>
      <c r="O273" s="2" t="s">
        <v>41</v>
      </c>
      <c r="P273" s="4">
        <v>2014</v>
      </c>
      <c r="Q273" t="str">
        <f>IF(Table1[[#This Row],[UnitsSold]]&gt;3000,"Large",IF(Table1[[#This Row],[UnitsSold]]&gt;1500,"Midium","Small"))</f>
        <v>Small</v>
      </c>
    </row>
    <row r="274" spans="1:17" x14ac:dyDescent="0.3">
      <c r="A274" s="2" t="s">
        <v>7</v>
      </c>
      <c r="B274" s="2" t="s">
        <v>8</v>
      </c>
      <c r="C274" s="2" t="s">
        <v>70</v>
      </c>
      <c r="D274" s="2" t="s">
        <v>506</v>
      </c>
      <c r="E274" s="4">
        <v>3801</v>
      </c>
      <c r="F274" s="7" t="s">
        <v>71</v>
      </c>
      <c r="G274" s="7">
        <v>15</v>
      </c>
      <c r="H274" s="7" t="s">
        <v>645</v>
      </c>
      <c r="I274" s="7" t="s">
        <v>646</v>
      </c>
      <c r="J274" s="7">
        <v>53594.1</v>
      </c>
      <c r="K274" s="7" t="s">
        <v>647</v>
      </c>
      <c r="L274" s="7">
        <v>15584.1</v>
      </c>
      <c r="M274" s="1">
        <v>41730</v>
      </c>
      <c r="N274" s="4">
        <v>4</v>
      </c>
      <c r="O274" s="2" t="s">
        <v>117</v>
      </c>
      <c r="P274" s="4">
        <v>2014</v>
      </c>
      <c r="Q274" t="str">
        <f>IF(Table1[[#This Row],[UnitsSold]]&gt;3000,"Large",IF(Table1[[#This Row],[UnitsSold]]&gt;1500,"Midium","Small"))</f>
        <v>Large</v>
      </c>
    </row>
    <row r="275" spans="1:17" x14ac:dyDescent="0.3">
      <c r="A275" s="2" t="s">
        <v>4</v>
      </c>
      <c r="B275" s="2" t="s">
        <v>67</v>
      </c>
      <c r="C275" s="2" t="s">
        <v>23</v>
      </c>
      <c r="D275" s="2" t="s">
        <v>506</v>
      </c>
      <c r="E275" s="4">
        <v>1117.5</v>
      </c>
      <c r="F275" s="7" t="s">
        <v>25</v>
      </c>
      <c r="G275" s="7">
        <v>20</v>
      </c>
      <c r="H275" s="7" t="s">
        <v>648</v>
      </c>
      <c r="I275" s="7" t="s">
        <v>649</v>
      </c>
      <c r="J275" s="7">
        <v>21009</v>
      </c>
      <c r="K275" s="7" t="s">
        <v>650</v>
      </c>
      <c r="L275" s="7">
        <v>9834</v>
      </c>
      <c r="M275" s="1">
        <v>41640</v>
      </c>
      <c r="N275" s="4">
        <v>1</v>
      </c>
      <c r="O275" s="2" t="s">
        <v>29</v>
      </c>
      <c r="P275" s="4">
        <v>2014</v>
      </c>
      <c r="Q275" t="str">
        <f>IF(Table1[[#This Row],[UnitsSold]]&gt;3000,"Large",IF(Table1[[#This Row],[UnitsSold]]&gt;1500,"Midium","Small"))</f>
        <v>Small</v>
      </c>
    </row>
    <row r="276" spans="1:17" x14ac:dyDescent="0.3">
      <c r="A276" s="2" t="s">
        <v>7</v>
      </c>
      <c r="B276" s="2" t="s">
        <v>5</v>
      </c>
      <c r="C276" s="2" t="s">
        <v>23</v>
      </c>
      <c r="D276" s="2" t="s">
        <v>506</v>
      </c>
      <c r="E276" s="4">
        <v>2844</v>
      </c>
      <c r="F276" s="7" t="s">
        <v>25</v>
      </c>
      <c r="G276" s="7">
        <v>15</v>
      </c>
      <c r="H276" s="7" t="s">
        <v>651</v>
      </c>
      <c r="I276" s="7" t="s">
        <v>652</v>
      </c>
      <c r="J276" s="7">
        <v>40100.400000000001</v>
      </c>
      <c r="K276" s="7" t="s">
        <v>653</v>
      </c>
      <c r="L276" s="7">
        <v>11660.4</v>
      </c>
      <c r="M276" s="1">
        <v>41791</v>
      </c>
      <c r="N276" s="4">
        <v>6</v>
      </c>
      <c r="O276" s="2" t="s">
        <v>34</v>
      </c>
      <c r="P276" s="4">
        <v>2014</v>
      </c>
      <c r="Q276" t="str">
        <f>IF(Table1[[#This Row],[UnitsSold]]&gt;3000,"Large",IF(Table1[[#This Row],[UnitsSold]]&gt;1500,"Midium","Small"))</f>
        <v>Midium</v>
      </c>
    </row>
    <row r="277" spans="1:17" x14ac:dyDescent="0.3">
      <c r="A277" s="2" t="s">
        <v>47</v>
      </c>
      <c r="B277" s="2" t="s">
        <v>9</v>
      </c>
      <c r="C277" s="2" t="s">
        <v>23</v>
      </c>
      <c r="D277" s="2" t="s">
        <v>506</v>
      </c>
      <c r="E277" s="4">
        <v>562</v>
      </c>
      <c r="F277" s="7" t="s">
        <v>25</v>
      </c>
      <c r="G277" s="7">
        <v>12</v>
      </c>
      <c r="H277" s="7" t="s">
        <v>654</v>
      </c>
      <c r="I277" s="7" t="s">
        <v>655</v>
      </c>
      <c r="J277" s="7">
        <v>6339.36</v>
      </c>
      <c r="K277" s="7" t="s">
        <v>130</v>
      </c>
      <c r="L277" s="7">
        <v>4653.3599999999997</v>
      </c>
      <c r="M277" s="1">
        <v>41883</v>
      </c>
      <c r="N277" s="4">
        <v>9</v>
      </c>
      <c r="O277" s="2" t="s">
        <v>63</v>
      </c>
      <c r="P277" s="4">
        <v>2014</v>
      </c>
      <c r="Q277" t="str">
        <f>IF(Table1[[#This Row],[UnitsSold]]&gt;3000,"Large",IF(Table1[[#This Row],[UnitsSold]]&gt;1500,"Midium","Small"))</f>
        <v>Small</v>
      </c>
    </row>
    <row r="278" spans="1:17" x14ac:dyDescent="0.3">
      <c r="A278" s="2" t="s">
        <v>47</v>
      </c>
      <c r="B278" s="2" t="s">
        <v>5</v>
      </c>
      <c r="C278" s="2" t="s">
        <v>23</v>
      </c>
      <c r="D278" s="2" t="s">
        <v>506</v>
      </c>
      <c r="E278" s="4">
        <v>2299</v>
      </c>
      <c r="F278" s="7" t="s">
        <v>25</v>
      </c>
      <c r="G278" s="7">
        <v>12</v>
      </c>
      <c r="H278" s="7" t="s">
        <v>656</v>
      </c>
      <c r="I278" s="7" t="s">
        <v>657</v>
      </c>
      <c r="J278" s="7">
        <v>25932.720000000001</v>
      </c>
      <c r="K278" s="7" t="s">
        <v>658</v>
      </c>
      <c r="L278" s="7">
        <v>19035.72</v>
      </c>
      <c r="M278" s="1">
        <v>41548</v>
      </c>
      <c r="N278" s="4">
        <v>10</v>
      </c>
      <c r="O278" s="2" t="s">
        <v>66</v>
      </c>
      <c r="P278" s="4">
        <v>2013</v>
      </c>
      <c r="Q278" t="str">
        <f>IF(Table1[[#This Row],[UnitsSold]]&gt;3000,"Large",IF(Table1[[#This Row],[UnitsSold]]&gt;1500,"Midium","Small"))</f>
        <v>Midium</v>
      </c>
    </row>
    <row r="279" spans="1:17" x14ac:dyDescent="0.3">
      <c r="A279" s="2" t="s">
        <v>7</v>
      </c>
      <c r="B279" s="2" t="s">
        <v>67</v>
      </c>
      <c r="C279" s="2" t="s">
        <v>23</v>
      </c>
      <c r="D279" s="2" t="s">
        <v>506</v>
      </c>
      <c r="E279" s="4">
        <v>2030</v>
      </c>
      <c r="F279" s="7" t="s">
        <v>25</v>
      </c>
      <c r="G279" s="7">
        <v>15</v>
      </c>
      <c r="H279" s="7" t="s">
        <v>659</v>
      </c>
      <c r="I279" s="7" t="s">
        <v>660</v>
      </c>
      <c r="J279" s="7">
        <v>28623</v>
      </c>
      <c r="K279" s="7" t="s">
        <v>661</v>
      </c>
      <c r="L279" s="7">
        <v>8323</v>
      </c>
      <c r="M279" s="1">
        <v>41944</v>
      </c>
      <c r="N279" s="4">
        <v>11</v>
      </c>
      <c r="O279" s="2" t="s">
        <v>94</v>
      </c>
      <c r="P279" s="4">
        <v>2014</v>
      </c>
      <c r="Q279" t="str">
        <f>IF(Table1[[#This Row],[UnitsSold]]&gt;3000,"Large",IF(Table1[[#This Row],[UnitsSold]]&gt;1500,"Midium","Small"))</f>
        <v>Midium</v>
      </c>
    </row>
    <row r="280" spans="1:17" x14ac:dyDescent="0.3">
      <c r="A280" s="2" t="s">
        <v>4</v>
      </c>
      <c r="B280" s="2" t="s">
        <v>67</v>
      </c>
      <c r="C280" s="2" t="s">
        <v>23</v>
      </c>
      <c r="D280" s="2" t="s">
        <v>506</v>
      </c>
      <c r="E280" s="4">
        <v>263</v>
      </c>
      <c r="F280" s="7" t="s">
        <v>25</v>
      </c>
      <c r="G280" s="7">
        <v>7</v>
      </c>
      <c r="H280" s="7" t="s">
        <v>233</v>
      </c>
      <c r="I280" s="7" t="s">
        <v>662</v>
      </c>
      <c r="J280" s="7">
        <v>1730.54</v>
      </c>
      <c r="K280" s="7" t="s">
        <v>235</v>
      </c>
      <c r="L280" s="7">
        <v>415.54</v>
      </c>
      <c r="M280" s="1">
        <v>41579</v>
      </c>
      <c r="N280" s="4">
        <v>11</v>
      </c>
      <c r="O280" s="2" t="s">
        <v>94</v>
      </c>
      <c r="P280" s="4">
        <v>2013</v>
      </c>
      <c r="Q280" t="str">
        <f>IF(Table1[[#This Row],[UnitsSold]]&gt;3000,"Large",IF(Table1[[#This Row],[UnitsSold]]&gt;1500,"Midium","Small"))</f>
        <v>Small</v>
      </c>
    </row>
    <row r="281" spans="1:17" x14ac:dyDescent="0.3">
      <c r="A281" s="2" t="s">
        <v>10</v>
      </c>
      <c r="B281" s="2" t="s">
        <v>6</v>
      </c>
      <c r="C281" s="2" t="s">
        <v>23</v>
      </c>
      <c r="D281" s="2" t="s">
        <v>506</v>
      </c>
      <c r="E281" s="4">
        <v>887</v>
      </c>
      <c r="F281" s="7" t="s">
        <v>25</v>
      </c>
      <c r="G281" s="7">
        <v>125</v>
      </c>
      <c r="H281" s="7" t="s">
        <v>663</v>
      </c>
      <c r="I281" s="7" t="s">
        <v>386</v>
      </c>
      <c r="J281" s="7" t="s">
        <v>1720</v>
      </c>
      <c r="K281" s="7" t="s">
        <v>664</v>
      </c>
      <c r="L281" s="7">
        <v>2217.5</v>
      </c>
      <c r="M281" s="1">
        <v>41609</v>
      </c>
      <c r="N281" s="4">
        <v>12</v>
      </c>
      <c r="O281" s="2" t="s">
        <v>41</v>
      </c>
      <c r="P281" s="4">
        <v>2013</v>
      </c>
      <c r="Q281" t="str">
        <f>IF(Table1[[#This Row],[UnitsSold]]&gt;3000,"Large",IF(Table1[[#This Row],[UnitsSold]]&gt;1500,"Midium","Small"))</f>
        <v>Small</v>
      </c>
    </row>
    <row r="282" spans="1:17" x14ac:dyDescent="0.3">
      <c r="A282" s="2" t="s">
        <v>4</v>
      </c>
      <c r="B282" s="2" t="s">
        <v>9</v>
      </c>
      <c r="C282" s="2" t="s">
        <v>42</v>
      </c>
      <c r="D282" s="2" t="s">
        <v>506</v>
      </c>
      <c r="E282" s="4">
        <v>980</v>
      </c>
      <c r="F282" s="7" t="s">
        <v>43</v>
      </c>
      <c r="G282" s="7">
        <v>350</v>
      </c>
      <c r="H282" s="7" t="s">
        <v>665</v>
      </c>
      <c r="I282" s="7" t="s">
        <v>666</v>
      </c>
      <c r="J282" s="7" t="s">
        <v>1721</v>
      </c>
      <c r="K282" s="7" t="s">
        <v>667</v>
      </c>
      <c r="L282" s="7">
        <v>67620</v>
      </c>
      <c r="M282" s="1">
        <v>41730</v>
      </c>
      <c r="N282" s="4">
        <v>4</v>
      </c>
      <c r="O282" s="2" t="s">
        <v>117</v>
      </c>
      <c r="P282" s="4">
        <v>2014</v>
      </c>
      <c r="Q282" t="str">
        <f>IF(Table1[[#This Row],[UnitsSold]]&gt;3000,"Large",IF(Table1[[#This Row],[UnitsSold]]&gt;1500,"Midium","Small"))</f>
        <v>Small</v>
      </c>
    </row>
    <row r="283" spans="1:17" x14ac:dyDescent="0.3">
      <c r="A283" s="2" t="s">
        <v>4</v>
      </c>
      <c r="B283" s="2" t="s">
        <v>6</v>
      </c>
      <c r="C283" s="2" t="s">
        <v>42</v>
      </c>
      <c r="D283" s="2" t="s">
        <v>506</v>
      </c>
      <c r="E283" s="4">
        <v>1460</v>
      </c>
      <c r="F283" s="7" t="s">
        <v>43</v>
      </c>
      <c r="G283" s="7">
        <v>350</v>
      </c>
      <c r="H283" s="7" t="s">
        <v>668</v>
      </c>
      <c r="I283" s="7" t="s">
        <v>669</v>
      </c>
      <c r="J283" s="7" t="s">
        <v>1722</v>
      </c>
      <c r="K283" s="7" t="s">
        <v>670</v>
      </c>
      <c r="L283" s="7" t="s">
        <v>1883</v>
      </c>
      <c r="M283" s="1">
        <v>41760</v>
      </c>
      <c r="N283" s="4">
        <v>5</v>
      </c>
      <c r="O283" s="2" t="s">
        <v>145</v>
      </c>
      <c r="P283" s="4">
        <v>2014</v>
      </c>
      <c r="Q283" t="str">
        <f>IF(Table1[[#This Row],[UnitsSold]]&gt;3000,"Large",IF(Table1[[#This Row],[UnitsSold]]&gt;1500,"Midium","Small"))</f>
        <v>Small</v>
      </c>
    </row>
    <row r="284" spans="1:17" x14ac:dyDescent="0.3">
      <c r="A284" s="2" t="s">
        <v>4</v>
      </c>
      <c r="B284" s="2" t="s">
        <v>8</v>
      </c>
      <c r="C284" s="2" t="s">
        <v>42</v>
      </c>
      <c r="D284" s="2" t="s">
        <v>506</v>
      </c>
      <c r="E284" s="4">
        <v>1403</v>
      </c>
      <c r="F284" s="7" t="s">
        <v>43</v>
      </c>
      <c r="G284" s="7">
        <v>7</v>
      </c>
      <c r="H284" s="7" t="s">
        <v>671</v>
      </c>
      <c r="I284" s="7" t="s">
        <v>672</v>
      </c>
      <c r="J284" s="7">
        <v>9231.74</v>
      </c>
      <c r="K284" s="7" t="s">
        <v>673</v>
      </c>
      <c r="L284" s="7">
        <v>2216.7399999999998</v>
      </c>
      <c r="M284" s="1">
        <v>41548</v>
      </c>
      <c r="N284" s="4">
        <v>10</v>
      </c>
      <c r="O284" s="2" t="s">
        <v>66</v>
      </c>
      <c r="P284" s="4">
        <v>2013</v>
      </c>
      <c r="Q284" t="str">
        <f>IF(Table1[[#This Row],[UnitsSold]]&gt;3000,"Large",IF(Table1[[#This Row],[UnitsSold]]&gt;1500,"Midium","Small"))</f>
        <v>Small</v>
      </c>
    </row>
    <row r="285" spans="1:17" x14ac:dyDescent="0.3">
      <c r="A285" s="2" t="s">
        <v>47</v>
      </c>
      <c r="B285" s="2" t="s">
        <v>67</v>
      </c>
      <c r="C285" s="2" t="s">
        <v>42</v>
      </c>
      <c r="D285" s="2" t="s">
        <v>506</v>
      </c>
      <c r="E285" s="4">
        <v>2723</v>
      </c>
      <c r="F285" s="7" t="s">
        <v>43</v>
      </c>
      <c r="G285" s="7">
        <v>12</v>
      </c>
      <c r="H285" s="7" t="s">
        <v>674</v>
      </c>
      <c r="I285" s="7" t="s">
        <v>675</v>
      </c>
      <c r="J285" s="7">
        <v>30715.439999999999</v>
      </c>
      <c r="K285" s="7" t="s">
        <v>676</v>
      </c>
      <c r="L285" s="7">
        <v>22546.44</v>
      </c>
      <c r="M285" s="1">
        <v>41944</v>
      </c>
      <c r="N285" s="4">
        <v>11</v>
      </c>
      <c r="O285" s="2" t="s">
        <v>94</v>
      </c>
      <c r="P285" s="4">
        <v>2014</v>
      </c>
      <c r="Q285" t="str">
        <f>IF(Table1[[#This Row],[UnitsSold]]&gt;3000,"Large",IF(Table1[[#This Row],[UnitsSold]]&gt;1500,"Midium","Small"))</f>
        <v>Midium</v>
      </c>
    </row>
    <row r="286" spans="1:17" x14ac:dyDescent="0.3">
      <c r="A286" s="2" t="s">
        <v>4</v>
      </c>
      <c r="B286" s="2" t="s">
        <v>8</v>
      </c>
      <c r="C286" s="2" t="s">
        <v>70</v>
      </c>
      <c r="D286" s="2" t="s">
        <v>506</v>
      </c>
      <c r="E286" s="4">
        <v>1496</v>
      </c>
      <c r="F286" s="7" t="s">
        <v>71</v>
      </c>
      <c r="G286" s="7">
        <v>350</v>
      </c>
      <c r="H286" s="7" t="s">
        <v>677</v>
      </c>
      <c r="I286" s="7" t="s">
        <v>678</v>
      </c>
      <c r="J286" s="7" t="s">
        <v>1723</v>
      </c>
      <c r="K286" s="7" t="s">
        <v>679</v>
      </c>
      <c r="L286" s="7" t="s">
        <v>1884</v>
      </c>
      <c r="M286" s="1">
        <v>41791</v>
      </c>
      <c r="N286" s="4">
        <v>6</v>
      </c>
      <c r="O286" s="2" t="s">
        <v>34</v>
      </c>
      <c r="P286" s="4">
        <v>2014</v>
      </c>
      <c r="Q286" t="str">
        <f>IF(Table1[[#This Row],[UnitsSold]]&gt;3000,"Large",IF(Table1[[#This Row],[UnitsSold]]&gt;1500,"Midium","Small"))</f>
        <v>Small</v>
      </c>
    </row>
    <row r="287" spans="1:17" x14ac:dyDescent="0.3">
      <c r="A287" s="2" t="s">
        <v>47</v>
      </c>
      <c r="B287" s="2" t="s">
        <v>5</v>
      </c>
      <c r="C287" s="2" t="s">
        <v>70</v>
      </c>
      <c r="D287" s="2" t="s">
        <v>506</v>
      </c>
      <c r="E287" s="4">
        <v>2299</v>
      </c>
      <c r="F287" s="7" t="s">
        <v>71</v>
      </c>
      <c r="G287" s="7">
        <v>12</v>
      </c>
      <c r="H287" s="7" t="s">
        <v>656</v>
      </c>
      <c r="I287" s="7" t="s">
        <v>657</v>
      </c>
      <c r="J287" s="7">
        <v>25932.720000000001</v>
      </c>
      <c r="K287" s="7" t="s">
        <v>658</v>
      </c>
      <c r="L287" s="7">
        <v>19035.72</v>
      </c>
      <c r="M287" s="1">
        <v>41548</v>
      </c>
      <c r="N287" s="4">
        <v>10</v>
      </c>
      <c r="O287" s="2" t="s">
        <v>66</v>
      </c>
      <c r="P287" s="4">
        <v>2013</v>
      </c>
      <c r="Q287" t="str">
        <f>IF(Table1[[#This Row],[UnitsSold]]&gt;3000,"Large",IF(Table1[[#This Row],[UnitsSold]]&gt;1500,"Midium","Small"))</f>
        <v>Midium</v>
      </c>
    </row>
    <row r="288" spans="1:17" x14ac:dyDescent="0.3">
      <c r="A288" s="2" t="s">
        <v>4</v>
      </c>
      <c r="B288" s="2" t="s">
        <v>67</v>
      </c>
      <c r="C288" s="2" t="s">
        <v>70</v>
      </c>
      <c r="D288" s="2" t="s">
        <v>506</v>
      </c>
      <c r="E288" s="4">
        <v>727</v>
      </c>
      <c r="F288" s="7" t="s">
        <v>71</v>
      </c>
      <c r="G288" s="7">
        <v>350</v>
      </c>
      <c r="H288" s="7" t="s">
        <v>680</v>
      </c>
      <c r="I288" s="7" t="s">
        <v>681</v>
      </c>
      <c r="J288" s="7" t="s">
        <v>1724</v>
      </c>
      <c r="K288" s="7" t="s">
        <v>682</v>
      </c>
      <c r="L288" s="7">
        <v>50163</v>
      </c>
      <c r="M288" s="1">
        <v>41548</v>
      </c>
      <c r="N288" s="4">
        <v>10</v>
      </c>
      <c r="O288" s="2" t="s">
        <v>66</v>
      </c>
      <c r="P288" s="4">
        <v>2013</v>
      </c>
      <c r="Q288" t="str">
        <f>IF(Table1[[#This Row],[UnitsSold]]&gt;3000,"Large",IF(Table1[[#This Row],[UnitsSold]]&gt;1500,"Midium","Small"))</f>
        <v>Small</v>
      </c>
    </row>
    <row r="289" spans="1:17" x14ac:dyDescent="0.3">
      <c r="A289" s="2" t="s">
        <v>10</v>
      </c>
      <c r="B289" s="2" t="s">
        <v>5</v>
      </c>
      <c r="C289" s="2" t="s">
        <v>101</v>
      </c>
      <c r="D289" s="2" t="s">
        <v>506</v>
      </c>
      <c r="E289" s="4">
        <v>952</v>
      </c>
      <c r="F289" s="7" t="s">
        <v>102</v>
      </c>
      <c r="G289" s="7">
        <v>125</v>
      </c>
      <c r="H289" s="7" t="s">
        <v>683</v>
      </c>
      <c r="I289" s="7" t="s">
        <v>684</v>
      </c>
      <c r="J289" s="7" t="s">
        <v>1725</v>
      </c>
      <c r="K289" s="7" t="s">
        <v>685</v>
      </c>
      <c r="L289" s="7">
        <v>2380</v>
      </c>
      <c r="M289" s="1">
        <v>41671</v>
      </c>
      <c r="N289" s="4">
        <v>2</v>
      </c>
      <c r="O289" s="2" t="s">
        <v>74</v>
      </c>
      <c r="P289" s="4">
        <v>2014</v>
      </c>
      <c r="Q289" t="str">
        <f>IF(Table1[[#This Row],[UnitsSold]]&gt;3000,"Large",IF(Table1[[#This Row],[UnitsSold]]&gt;1500,"Midium","Small"))</f>
        <v>Small</v>
      </c>
    </row>
    <row r="290" spans="1:17" x14ac:dyDescent="0.3">
      <c r="A290" s="2" t="s">
        <v>10</v>
      </c>
      <c r="B290" s="2" t="s">
        <v>67</v>
      </c>
      <c r="C290" s="2" t="s">
        <v>101</v>
      </c>
      <c r="D290" s="2" t="s">
        <v>506</v>
      </c>
      <c r="E290" s="4">
        <v>2755</v>
      </c>
      <c r="F290" s="7" t="s">
        <v>102</v>
      </c>
      <c r="G290" s="7">
        <v>125</v>
      </c>
      <c r="H290" s="7" t="s">
        <v>686</v>
      </c>
      <c r="I290" s="7" t="s">
        <v>687</v>
      </c>
      <c r="J290" s="7" t="s">
        <v>1726</v>
      </c>
      <c r="K290" s="7" t="s">
        <v>688</v>
      </c>
      <c r="L290" s="7">
        <v>6887.5</v>
      </c>
      <c r="M290" s="1">
        <v>41671</v>
      </c>
      <c r="N290" s="4">
        <v>2</v>
      </c>
      <c r="O290" s="2" t="s">
        <v>74</v>
      </c>
      <c r="P290" s="4">
        <v>2014</v>
      </c>
      <c r="Q290" t="str">
        <f>IF(Table1[[#This Row],[UnitsSold]]&gt;3000,"Large",IF(Table1[[#This Row],[UnitsSold]]&gt;1500,"Midium","Small"))</f>
        <v>Midium</v>
      </c>
    </row>
    <row r="291" spans="1:17" x14ac:dyDescent="0.3">
      <c r="A291" s="2" t="s">
        <v>7</v>
      </c>
      <c r="B291" s="2" t="s">
        <v>6</v>
      </c>
      <c r="C291" s="2" t="s">
        <v>101</v>
      </c>
      <c r="D291" s="2" t="s">
        <v>506</v>
      </c>
      <c r="E291" s="4">
        <v>1530</v>
      </c>
      <c r="F291" s="7" t="s">
        <v>102</v>
      </c>
      <c r="G291" s="7">
        <v>15</v>
      </c>
      <c r="H291" s="7" t="s">
        <v>689</v>
      </c>
      <c r="I291" s="7" t="s">
        <v>690</v>
      </c>
      <c r="J291" s="7">
        <v>21573</v>
      </c>
      <c r="K291" s="7" t="s">
        <v>691</v>
      </c>
      <c r="L291" s="7">
        <v>6273</v>
      </c>
      <c r="M291" s="1">
        <v>41760</v>
      </c>
      <c r="N291" s="4">
        <v>5</v>
      </c>
      <c r="O291" s="2" t="s">
        <v>145</v>
      </c>
      <c r="P291" s="4">
        <v>2014</v>
      </c>
      <c r="Q291" t="str">
        <f>IF(Table1[[#This Row],[UnitsSold]]&gt;3000,"Large",IF(Table1[[#This Row],[UnitsSold]]&gt;1500,"Midium","Small"))</f>
        <v>Midium</v>
      </c>
    </row>
    <row r="292" spans="1:17" x14ac:dyDescent="0.3">
      <c r="A292" s="2" t="s">
        <v>4</v>
      </c>
      <c r="B292" s="2" t="s">
        <v>8</v>
      </c>
      <c r="C292" s="2" t="s">
        <v>101</v>
      </c>
      <c r="D292" s="2" t="s">
        <v>506</v>
      </c>
      <c r="E292" s="4">
        <v>1496</v>
      </c>
      <c r="F292" s="7" t="s">
        <v>102</v>
      </c>
      <c r="G292" s="7">
        <v>350</v>
      </c>
      <c r="H292" s="7" t="s">
        <v>677</v>
      </c>
      <c r="I292" s="7" t="s">
        <v>678</v>
      </c>
      <c r="J292" s="7" t="s">
        <v>1723</v>
      </c>
      <c r="K292" s="7" t="s">
        <v>679</v>
      </c>
      <c r="L292" s="7" t="s">
        <v>1884</v>
      </c>
      <c r="M292" s="1">
        <v>41791</v>
      </c>
      <c r="N292" s="4">
        <v>6</v>
      </c>
      <c r="O292" s="2" t="s">
        <v>34</v>
      </c>
      <c r="P292" s="4">
        <v>2014</v>
      </c>
      <c r="Q292" t="str">
        <f>IF(Table1[[#This Row],[UnitsSold]]&gt;3000,"Large",IF(Table1[[#This Row],[UnitsSold]]&gt;1500,"Midium","Small"))</f>
        <v>Small</v>
      </c>
    </row>
    <row r="293" spans="1:17" x14ac:dyDescent="0.3">
      <c r="A293" s="2" t="s">
        <v>4</v>
      </c>
      <c r="B293" s="2" t="s">
        <v>9</v>
      </c>
      <c r="C293" s="2" t="s">
        <v>101</v>
      </c>
      <c r="D293" s="2" t="s">
        <v>506</v>
      </c>
      <c r="E293" s="4">
        <v>1498</v>
      </c>
      <c r="F293" s="7" t="s">
        <v>102</v>
      </c>
      <c r="G293" s="7">
        <v>7</v>
      </c>
      <c r="H293" s="7" t="s">
        <v>692</v>
      </c>
      <c r="I293" s="7" t="s">
        <v>693</v>
      </c>
      <c r="J293" s="7">
        <v>9856.84</v>
      </c>
      <c r="K293" s="7" t="s">
        <v>694</v>
      </c>
      <c r="L293" s="7">
        <v>2366.84</v>
      </c>
      <c r="M293" s="1">
        <v>41791</v>
      </c>
      <c r="N293" s="4">
        <v>6</v>
      </c>
      <c r="O293" s="2" t="s">
        <v>34</v>
      </c>
      <c r="P293" s="4">
        <v>2014</v>
      </c>
      <c r="Q293" t="str">
        <f>IF(Table1[[#This Row],[UnitsSold]]&gt;3000,"Large",IF(Table1[[#This Row],[UnitsSold]]&gt;1500,"Midium","Small"))</f>
        <v>Small</v>
      </c>
    </row>
    <row r="294" spans="1:17" x14ac:dyDescent="0.3">
      <c r="A294" s="2" t="s">
        <v>57</v>
      </c>
      <c r="B294" s="2" t="s">
        <v>8</v>
      </c>
      <c r="C294" s="2" t="s">
        <v>101</v>
      </c>
      <c r="D294" s="2" t="s">
        <v>506</v>
      </c>
      <c r="E294" s="4">
        <v>1221</v>
      </c>
      <c r="F294" s="7" t="s">
        <v>102</v>
      </c>
      <c r="G294" s="7">
        <v>300</v>
      </c>
      <c r="H294" s="7" t="s">
        <v>695</v>
      </c>
      <c r="I294" s="7" t="s">
        <v>696</v>
      </c>
      <c r="J294" s="7" t="s">
        <v>1727</v>
      </c>
      <c r="K294" s="7" t="s">
        <v>697</v>
      </c>
      <c r="L294" s="7">
        <v>39072</v>
      </c>
      <c r="M294" s="1">
        <v>41548</v>
      </c>
      <c r="N294" s="4">
        <v>10</v>
      </c>
      <c r="O294" s="2" t="s">
        <v>66</v>
      </c>
      <c r="P294" s="4">
        <v>2013</v>
      </c>
      <c r="Q294" t="str">
        <f>IF(Table1[[#This Row],[UnitsSold]]&gt;3000,"Large",IF(Table1[[#This Row],[UnitsSold]]&gt;1500,"Midium","Small"))</f>
        <v>Small</v>
      </c>
    </row>
    <row r="295" spans="1:17" x14ac:dyDescent="0.3">
      <c r="A295" s="2" t="s">
        <v>4</v>
      </c>
      <c r="B295" s="2" t="s">
        <v>8</v>
      </c>
      <c r="C295" s="2" t="s">
        <v>101</v>
      </c>
      <c r="D295" s="2" t="s">
        <v>506</v>
      </c>
      <c r="E295" s="4">
        <v>2076</v>
      </c>
      <c r="F295" s="7" t="s">
        <v>102</v>
      </c>
      <c r="G295" s="7">
        <v>350</v>
      </c>
      <c r="H295" s="7" t="s">
        <v>698</v>
      </c>
      <c r="I295" s="7" t="s">
        <v>699</v>
      </c>
      <c r="J295" s="7" t="s">
        <v>1728</v>
      </c>
      <c r="K295" s="7" t="s">
        <v>700</v>
      </c>
      <c r="L295" s="7" t="s">
        <v>1885</v>
      </c>
      <c r="M295" s="1">
        <v>41548</v>
      </c>
      <c r="N295" s="4">
        <v>10</v>
      </c>
      <c r="O295" s="2" t="s">
        <v>66</v>
      </c>
      <c r="P295" s="4">
        <v>2013</v>
      </c>
      <c r="Q295" t="str">
        <f>IF(Table1[[#This Row],[UnitsSold]]&gt;3000,"Large",IF(Table1[[#This Row],[UnitsSold]]&gt;1500,"Midium","Small"))</f>
        <v>Midium</v>
      </c>
    </row>
    <row r="296" spans="1:17" x14ac:dyDescent="0.3">
      <c r="A296" s="2" t="s">
        <v>7</v>
      </c>
      <c r="B296" s="2" t="s">
        <v>5</v>
      </c>
      <c r="C296" s="2" t="s">
        <v>111</v>
      </c>
      <c r="D296" s="2" t="s">
        <v>506</v>
      </c>
      <c r="E296" s="4">
        <v>2844</v>
      </c>
      <c r="F296" s="7" t="s">
        <v>112</v>
      </c>
      <c r="G296" s="7">
        <v>15</v>
      </c>
      <c r="H296" s="7" t="s">
        <v>651</v>
      </c>
      <c r="I296" s="7" t="s">
        <v>652</v>
      </c>
      <c r="J296" s="7">
        <v>40100.400000000001</v>
      </c>
      <c r="K296" s="7" t="s">
        <v>653</v>
      </c>
      <c r="L296" s="7">
        <v>11660.4</v>
      </c>
      <c r="M296" s="1">
        <v>41791</v>
      </c>
      <c r="N296" s="4">
        <v>6</v>
      </c>
      <c r="O296" s="2" t="s">
        <v>34</v>
      </c>
      <c r="P296" s="4">
        <v>2014</v>
      </c>
      <c r="Q296" t="str">
        <f>IF(Table1[[#This Row],[UnitsSold]]&gt;3000,"Large",IF(Table1[[#This Row],[UnitsSold]]&gt;1500,"Midium","Small"))</f>
        <v>Midium</v>
      </c>
    </row>
    <row r="297" spans="1:17" x14ac:dyDescent="0.3">
      <c r="A297" s="2" t="s">
        <v>4</v>
      </c>
      <c r="B297" s="2" t="s">
        <v>9</v>
      </c>
      <c r="C297" s="2" t="s">
        <v>111</v>
      </c>
      <c r="D297" s="2" t="s">
        <v>506</v>
      </c>
      <c r="E297" s="4">
        <v>1498</v>
      </c>
      <c r="F297" s="7" t="s">
        <v>112</v>
      </c>
      <c r="G297" s="7">
        <v>7</v>
      </c>
      <c r="H297" s="7" t="s">
        <v>692</v>
      </c>
      <c r="I297" s="7" t="s">
        <v>693</v>
      </c>
      <c r="J297" s="7">
        <v>9856.84</v>
      </c>
      <c r="K297" s="7" t="s">
        <v>694</v>
      </c>
      <c r="L297" s="7">
        <v>2366.84</v>
      </c>
      <c r="M297" s="1">
        <v>41791</v>
      </c>
      <c r="N297" s="4">
        <v>6</v>
      </c>
      <c r="O297" s="2" t="s">
        <v>34</v>
      </c>
      <c r="P297" s="4">
        <v>2014</v>
      </c>
      <c r="Q297" t="str">
        <f>IF(Table1[[#This Row],[UnitsSold]]&gt;3000,"Large",IF(Table1[[#This Row],[UnitsSold]]&gt;1500,"Midium","Small"))</f>
        <v>Small</v>
      </c>
    </row>
    <row r="298" spans="1:17" x14ac:dyDescent="0.3">
      <c r="A298" s="2" t="s">
        <v>57</v>
      </c>
      <c r="B298" s="2" t="s">
        <v>8</v>
      </c>
      <c r="C298" s="2" t="s">
        <v>111</v>
      </c>
      <c r="D298" s="2" t="s">
        <v>506</v>
      </c>
      <c r="E298" s="4">
        <v>1221</v>
      </c>
      <c r="F298" s="7" t="s">
        <v>112</v>
      </c>
      <c r="G298" s="7">
        <v>300</v>
      </c>
      <c r="H298" s="7" t="s">
        <v>695</v>
      </c>
      <c r="I298" s="7" t="s">
        <v>696</v>
      </c>
      <c r="J298" s="7" t="s">
        <v>1727</v>
      </c>
      <c r="K298" s="7" t="s">
        <v>697</v>
      </c>
      <c r="L298" s="7">
        <v>39072</v>
      </c>
      <c r="M298" s="1">
        <v>41548</v>
      </c>
      <c r="N298" s="4">
        <v>10</v>
      </c>
      <c r="O298" s="2" t="s">
        <v>66</v>
      </c>
      <c r="P298" s="4">
        <v>2013</v>
      </c>
      <c r="Q298" t="str">
        <f>IF(Table1[[#This Row],[UnitsSold]]&gt;3000,"Large",IF(Table1[[#This Row],[UnitsSold]]&gt;1500,"Midium","Small"))</f>
        <v>Small</v>
      </c>
    </row>
    <row r="299" spans="1:17" x14ac:dyDescent="0.3">
      <c r="A299" s="2" t="s">
        <v>4</v>
      </c>
      <c r="B299" s="2" t="s">
        <v>9</v>
      </c>
      <c r="C299" s="2" t="s">
        <v>111</v>
      </c>
      <c r="D299" s="2" t="s">
        <v>506</v>
      </c>
      <c r="E299" s="4">
        <v>1123</v>
      </c>
      <c r="F299" s="7" t="s">
        <v>112</v>
      </c>
      <c r="G299" s="7">
        <v>20</v>
      </c>
      <c r="H299" s="7" t="s">
        <v>701</v>
      </c>
      <c r="I299" s="7" t="s">
        <v>702</v>
      </c>
      <c r="J299" s="7">
        <v>21112.400000000001</v>
      </c>
      <c r="K299" s="7" t="s">
        <v>703</v>
      </c>
      <c r="L299" s="7">
        <v>9882.4</v>
      </c>
      <c r="M299" s="1">
        <v>41579</v>
      </c>
      <c r="N299" s="4">
        <v>11</v>
      </c>
      <c r="O299" s="2" t="s">
        <v>94</v>
      </c>
      <c r="P299" s="4">
        <v>2013</v>
      </c>
      <c r="Q299" t="str">
        <f>IF(Table1[[#This Row],[UnitsSold]]&gt;3000,"Large",IF(Table1[[#This Row],[UnitsSold]]&gt;1500,"Midium","Small"))</f>
        <v>Small</v>
      </c>
    </row>
    <row r="300" spans="1:17" x14ac:dyDescent="0.3">
      <c r="A300" s="2" t="s">
        <v>57</v>
      </c>
      <c r="B300" s="2" t="s">
        <v>5</v>
      </c>
      <c r="C300" s="2" t="s">
        <v>111</v>
      </c>
      <c r="D300" s="2" t="s">
        <v>506</v>
      </c>
      <c r="E300" s="4">
        <v>2436</v>
      </c>
      <c r="F300" s="7" t="s">
        <v>112</v>
      </c>
      <c r="G300" s="7">
        <v>300</v>
      </c>
      <c r="H300" s="7" t="s">
        <v>704</v>
      </c>
      <c r="I300" s="7" t="s">
        <v>705</v>
      </c>
      <c r="J300" s="7" t="s">
        <v>1729</v>
      </c>
      <c r="K300" s="7" t="s">
        <v>706</v>
      </c>
      <c r="L300" s="7">
        <v>77952</v>
      </c>
      <c r="M300" s="1">
        <v>41609</v>
      </c>
      <c r="N300" s="4">
        <v>12</v>
      </c>
      <c r="O300" s="2" t="s">
        <v>41</v>
      </c>
      <c r="P300" s="4">
        <v>2013</v>
      </c>
      <c r="Q300" t="str">
        <f>IF(Table1[[#This Row],[UnitsSold]]&gt;3000,"Large",IF(Table1[[#This Row],[UnitsSold]]&gt;1500,"Midium","Small"))</f>
        <v>Midium</v>
      </c>
    </row>
    <row r="301" spans="1:17" x14ac:dyDescent="0.3">
      <c r="A301" s="2" t="s">
        <v>10</v>
      </c>
      <c r="B301" s="2" t="s">
        <v>8</v>
      </c>
      <c r="C301" s="2" t="s">
        <v>122</v>
      </c>
      <c r="D301" s="2" t="s">
        <v>506</v>
      </c>
      <c r="E301" s="4">
        <v>1987.5</v>
      </c>
      <c r="F301" s="7" t="s">
        <v>123</v>
      </c>
      <c r="G301" s="7">
        <v>125</v>
      </c>
      <c r="H301" s="7" t="s">
        <v>707</v>
      </c>
      <c r="I301" s="7" t="s">
        <v>574</v>
      </c>
      <c r="J301" s="7" t="s">
        <v>1730</v>
      </c>
      <c r="K301" s="7" t="s">
        <v>708</v>
      </c>
      <c r="L301" s="7">
        <v>4968.75</v>
      </c>
      <c r="M301" s="1">
        <v>41640</v>
      </c>
      <c r="N301" s="4">
        <v>1</v>
      </c>
      <c r="O301" s="2" t="s">
        <v>29</v>
      </c>
      <c r="P301" s="4">
        <v>2014</v>
      </c>
      <c r="Q301" t="str">
        <f>IF(Table1[[#This Row],[UnitsSold]]&gt;3000,"Large",IF(Table1[[#This Row],[UnitsSold]]&gt;1500,"Midium","Small"))</f>
        <v>Midium</v>
      </c>
    </row>
    <row r="302" spans="1:17" x14ac:dyDescent="0.3">
      <c r="A302" s="2" t="s">
        <v>4</v>
      </c>
      <c r="B302" s="2" t="s">
        <v>9</v>
      </c>
      <c r="C302" s="2" t="s">
        <v>122</v>
      </c>
      <c r="D302" s="2" t="s">
        <v>506</v>
      </c>
      <c r="E302" s="4">
        <v>1679</v>
      </c>
      <c r="F302" s="7" t="s">
        <v>123</v>
      </c>
      <c r="G302" s="7">
        <v>350</v>
      </c>
      <c r="H302" s="7" t="s">
        <v>709</v>
      </c>
      <c r="I302" s="7" t="s">
        <v>710</v>
      </c>
      <c r="J302" s="7" t="s">
        <v>1731</v>
      </c>
      <c r="K302" s="7" t="s">
        <v>711</v>
      </c>
      <c r="L302" s="7" t="s">
        <v>1886</v>
      </c>
      <c r="M302" s="1">
        <v>41883</v>
      </c>
      <c r="N302" s="4">
        <v>9</v>
      </c>
      <c r="O302" s="2" t="s">
        <v>63</v>
      </c>
      <c r="P302" s="4">
        <v>2014</v>
      </c>
      <c r="Q302" t="str">
        <f>IF(Table1[[#This Row],[UnitsSold]]&gt;3000,"Large",IF(Table1[[#This Row],[UnitsSold]]&gt;1500,"Midium","Small"))</f>
        <v>Midium</v>
      </c>
    </row>
    <row r="303" spans="1:17" x14ac:dyDescent="0.3">
      <c r="A303" s="2" t="s">
        <v>4</v>
      </c>
      <c r="B303" s="2" t="s">
        <v>67</v>
      </c>
      <c r="C303" s="2" t="s">
        <v>122</v>
      </c>
      <c r="D303" s="2" t="s">
        <v>506</v>
      </c>
      <c r="E303" s="4">
        <v>727</v>
      </c>
      <c r="F303" s="7" t="s">
        <v>123</v>
      </c>
      <c r="G303" s="7">
        <v>350</v>
      </c>
      <c r="H303" s="7" t="s">
        <v>680</v>
      </c>
      <c r="I303" s="7" t="s">
        <v>681</v>
      </c>
      <c r="J303" s="7" t="s">
        <v>1724</v>
      </c>
      <c r="K303" s="7" t="s">
        <v>682</v>
      </c>
      <c r="L303" s="7">
        <v>50163</v>
      </c>
      <c r="M303" s="1">
        <v>41548</v>
      </c>
      <c r="N303" s="4">
        <v>10</v>
      </c>
      <c r="O303" s="2" t="s">
        <v>66</v>
      </c>
      <c r="P303" s="4">
        <v>2013</v>
      </c>
      <c r="Q303" t="str">
        <f>IF(Table1[[#This Row],[UnitsSold]]&gt;3000,"Large",IF(Table1[[#This Row],[UnitsSold]]&gt;1500,"Midium","Small"))</f>
        <v>Small</v>
      </c>
    </row>
    <row r="304" spans="1:17" x14ac:dyDescent="0.3">
      <c r="A304" s="2" t="s">
        <v>4</v>
      </c>
      <c r="B304" s="2" t="s">
        <v>8</v>
      </c>
      <c r="C304" s="2" t="s">
        <v>122</v>
      </c>
      <c r="D304" s="2" t="s">
        <v>506</v>
      </c>
      <c r="E304" s="4">
        <v>1403</v>
      </c>
      <c r="F304" s="7" t="s">
        <v>123</v>
      </c>
      <c r="G304" s="7">
        <v>7</v>
      </c>
      <c r="H304" s="7" t="s">
        <v>671</v>
      </c>
      <c r="I304" s="7" t="s">
        <v>672</v>
      </c>
      <c r="J304" s="7">
        <v>9231.74</v>
      </c>
      <c r="K304" s="7" t="s">
        <v>673</v>
      </c>
      <c r="L304" s="7">
        <v>2216.7399999999998</v>
      </c>
      <c r="M304" s="1">
        <v>41548</v>
      </c>
      <c r="N304" s="4">
        <v>10</v>
      </c>
      <c r="O304" s="2" t="s">
        <v>66</v>
      </c>
      <c r="P304" s="4">
        <v>2013</v>
      </c>
      <c r="Q304" t="str">
        <f>IF(Table1[[#This Row],[UnitsSold]]&gt;3000,"Large",IF(Table1[[#This Row],[UnitsSold]]&gt;1500,"Midium","Small"))</f>
        <v>Small</v>
      </c>
    </row>
    <row r="305" spans="1:17" x14ac:dyDescent="0.3">
      <c r="A305" s="2" t="s">
        <v>4</v>
      </c>
      <c r="B305" s="2" t="s">
        <v>8</v>
      </c>
      <c r="C305" s="2" t="s">
        <v>122</v>
      </c>
      <c r="D305" s="2" t="s">
        <v>506</v>
      </c>
      <c r="E305" s="4">
        <v>2076</v>
      </c>
      <c r="F305" s="7" t="s">
        <v>123</v>
      </c>
      <c r="G305" s="7">
        <v>350</v>
      </c>
      <c r="H305" s="7" t="s">
        <v>698</v>
      </c>
      <c r="I305" s="7" t="s">
        <v>699</v>
      </c>
      <c r="J305" s="7" t="s">
        <v>1728</v>
      </c>
      <c r="K305" s="7" t="s">
        <v>700</v>
      </c>
      <c r="L305" s="7" t="s">
        <v>1885</v>
      </c>
      <c r="M305" s="1">
        <v>41548</v>
      </c>
      <c r="N305" s="4">
        <v>10</v>
      </c>
      <c r="O305" s="2" t="s">
        <v>66</v>
      </c>
      <c r="P305" s="4">
        <v>2013</v>
      </c>
      <c r="Q305" t="str">
        <f>IF(Table1[[#This Row],[UnitsSold]]&gt;3000,"Large",IF(Table1[[#This Row],[UnitsSold]]&gt;1500,"Midium","Small"))</f>
        <v>Midium</v>
      </c>
    </row>
    <row r="306" spans="1:17" x14ac:dyDescent="0.3">
      <c r="A306" s="2" t="s">
        <v>4</v>
      </c>
      <c r="B306" s="2" t="s">
        <v>8</v>
      </c>
      <c r="C306" s="2" t="s">
        <v>42</v>
      </c>
      <c r="D306" s="2" t="s">
        <v>506</v>
      </c>
      <c r="E306" s="4">
        <v>1757</v>
      </c>
      <c r="F306" s="7" t="s">
        <v>43</v>
      </c>
      <c r="G306" s="7">
        <v>20</v>
      </c>
      <c r="H306" s="7" t="s">
        <v>712</v>
      </c>
      <c r="I306" s="7" t="s">
        <v>713</v>
      </c>
      <c r="J306" s="7">
        <v>33031.599999999999</v>
      </c>
      <c r="K306" s="7" t="s">
        <v>714</v>
      </c>
      <c r="L306" s="7">
        <v>15461.6</v>
      </c>
      <c r="M306" s="1">
        <v>41548</v>
      </c>
      <c r="N306" s="4">
        <v>10</v>
      </c>
      <c r="O306" s="2" t="s">
        <v>66</v>
      </c>
      <c r="P306" s="4">
        <v>2013</v>
      </c>
      <c r="Q306" t="str">
        <f>IF(Table1[[#This Row],[UnitsSold]]&gt;3000,"Large",IF(Table1[[#This Row],[UnitsSold]]&gt;1500,"Midium","Small"))</f>
        <v>Midium</v>
      </c>
    </row>
    <row r="307" spans="1:17" x14ac:dyDescent="0.3">
      <c r="A307" s="2" t="s">
        <v>7</v>
      </c>
      <c r="B307" s="2" t="s">
        <v>67</v>
      </c>
      <c r="C307" s="2" t="s">
        <v>70</v>
      </c>
      <c r="D307" s="2" t="s">
        <v>506</v>
      </c>
      <c r="E307" s="4">
        <v>2198</v>
      </c>
      <c r="F307" s="7" t="s">
        <v>71</v>
      </c>
      <c r="G307" s="7">
        <v>15</v>
      </c>
      <c r="H307" s="7" t="s">
        <v>715</v>
      </c>
      <c r="I307" s="7" t="s">
        <v>716</v>
      </c>
      <c r="J307" s="7">
        <v>30991.8</v>
      </c>
      <c r="K307" s="7" t="s">
        <v>717</v>
      </c>
      <c r="L307" s="7">
        <v>9011.7999999999993</v>
      </c>
      <c r="M307" s="1">
        <v>41852</v>
      </c>
      <c r="N307" s="4">
        <v>8</v>
      </c>
      <c r="O307" s="2" t="s">
        <v>60</v>
      </c>
      <c r="P307" s="4">
        <v>2014</v>
      </c>
      <c r="Q307" t="str">
        <f>IF(Table1[[#This Row],[UnitsSold]]&gt;3000,"Large",IF(Table1[[#This Row],[UnitsSold]]&gt;1500,"Midium","Small"))</f>
        <v>Midium</v>
      </c>
    </row>
    <row r="308" spans="1:17" x14ac:dyDescent="0.3">
      <c r="A308" s="2" t="s">
        <v>7</v>
      </c>
      <c r="B308" s="2" t="s">
        <v>6</v>
      </c>
      <c r="C308" s="2" t="s">
        <v>70</v>
      </c>
      <c r="D308" s="2" t="s">
        <v>506</v>
      </c>
      <c r="E308" s="4">
        <v>1743</v>
      </c>
      <c r="F308" s="7" t="s">
        <v>71</v>
      </c>
      <c r="G308" s="7">
        <v>15</v>
      </c>
      <c r="H308" s="7" t="s">
        <v>718</v>
      </c>
      <c r="I308" s="7" t="s">
        <v>719</v>
      </c>
      <c r="J308" s="7">
        <v>24576.3</v>
      </c>
      <c r="K308" s="7" t="s">
        <v>720</v>
      </c>
      <c r="L308" s="7">
        <v>7146.3</v>
      </c>
      <c r="M308" s="1">
        <v>41852</v>
      </c>
      <c r="N308" s="4">
        <v>8</v>
      </c>
      <c r="O308" s="2" t="s">
        <v>60</v>
      </c>
      <c r="P308" s="4">
        <v>2014</v>
      </c>
      <c r="Q308" t="str">
        <f>IF(Table1[[#This Row],[UnitsSold]]&gt;3000,"Large",IF(Table1[[#This Row],[UnitsSold]]&gt;1500,"Midium","Small"))</f>
        <v>Midium</v>
      </c>
    </row>
    <row r="309" spans="1:17" x14ac:dyDescent="0.3">
      <c r="A309" s="2" t="s">
        <v>7</v>
      </c>
      <c r="B309" s="2" t="s">
        <v>67</v>
      </c>
      <c r="C309" s="2" t="s">
        <v>70</v>
      </c>
      <c r="D309" s="2" t="s">
        <v>506</v>
      </c>
      <c r="E309" s="4">
        <v>1153</v>
      </c>
      <c r="F309" s="7" t="s">
        <v>71</v>
      </c>
      <c r="G309" s="7">
        <v>15</v>
      </c>
      <c r="H309" s="7" t="s">
        <v>721</v>
      </c>
      <c r="I309" s="7" t="s">
        <v>722</v>
      </c>
      <c r="J309" s="7">
        <v>16257.3</v>
      </c>
      <c r="K309" s="7" t="s">
        <v>723</v>
      </c>
      <c r="L309" s="7">
        <v>4727.3</v>
      </c>
      <c r="M309" s="1">
        <v>41913</v>
      </c>
      <c r="N309" s="4">
        <v>10</v>
      </c>
      <c r="O309" s="2" t="s">
        <v>66</v>
      </c>
      <c r="P309" s="4">
        <v>2014</v>
      </c>
      <c r="Q309" t="str">
        <f>IF(Table1[[#This Row],[UnitsSold]]&gt;3000,"Large",IF(Table1[[#This Row],[UnitsSold]]&gt;1500,"Midium","Small"))</f>
        <v>Small</v>
      </c>
    </row>
    <row r="310" spans="1:17" x14ac:dyDescent="0.3">
      <c r="A310" s="2" t="s">
        <v>4</v>
      </c>
      <c r="B310" s="2" t="s">
        <v>8</v>
      </c>
      <c r="C310" s="2" t="s">
        <v>70</v>
      </c>
      <c r="D310" s="2" t="s">
        <v>506</v>
      </c>
      <c r="E310" s="4">
        <v>1757</v>
      </c>
      <c r="F310" s="7" t="s">
        <v>71</v>
      </c>
      <c r="G310" s="7">
        <v>20</v>
      </c>
      <c r="H310" s="7" t="s">
        <v>712</v>
      </c>
      <c r="I310" s="7" t="s">
        <v>713</v>
      </c>
      <c r="J310" s="7">
        <v>33031.599999999999</v>
      </c>
      <c r="K310" s="7" t="s">
        <v>714</v>
      </c>
      <c r="L310" s="7">
        <v>15461.6</v>
      </c>
      <c r="M310" s="1">
        <v>41548</v>
      </c>
      <c r="N310" s="4">
        <v>10</v>
      </c>
      <c r="O310" s="2" t="s">
        <v>66</v>
      </c>
      <c r="P310" s="4">
        <v>2013</v>
      </c>
      <c r="Q310" t="str">
        <f>IF(Table1[[#This Row],[UnitsSold]]&gt;3000,"Large",IF(Table1[[#This Row],[UnitsSold]]&gt;1500,"Midium","Small"))</f>
        <v>Midium</v>
      </c>
    </row>
    <row r="311" spans="1:17" x14ac:dyDescent="0.3">
      <c r="A311" s="2" t="s">
        <v>4</v>
      </c>
      <c r="B311" s="2" t="s">
        <v>6</v>
      </c>
      <c r="C311" s="2" t="s">
        <v>101</v>
      </c>
      <c r="D311" s="2" t="s">
        <v>506</v>
      </c>
      <c r="E311" s="4">
        <v>1001</v>
      </c>
      <c r="F311" s="7" t="s">
        <v>102</v>
      </c>
      <c r="G311" s="7">
        <v>20</v>
      </c>
      <c r="H311" s="7" t="s">
        <v>724</v>
      </c>
      <c r="I311" s="7" t="s">
        <v>725</v>
      </c>
      <c r="J311" s="7">
        <v>18818.8</v>
      </c>
      <c r="K311" s="7" t="s">
        <v>726</v>
      </c>
      <c r="L311" s="7">
        <v>8808.7999999999993</v>
      </c>
      <c r="M311" s="1">
        <v>41852</v>
      </c>
      <c r="N311" s="4">
        <v>8</v>
      </c>
      <c r="O311" s="2" t="s">
        <v>60</v>
      </c>
      <c r="P311" s="4">
        <v>2014</v>
      </c>
      <c r="Q311" t="str">
        <f>IF(Table1[[#This Row],[UnitsSold]]&gt;3000,"Large",IF(Table1[[#This Row],[UnitsSold]]&gt;1500,"Midium","Small"))</f>
        <v>Small</v>
      </c>
    </row>
    <row r="312" spans="1:17" x14ac:dyDescent="0.3">
      <c r="A312" s="2" t="s">
        <v>4</v>
      </c>
      <c r="B312" s="2" t="s">
        <v>9</v>
      </c>
      <c r="C312" s="2" t="s">
        <v>101</v>
      </c>
      <c r="D312" s="2" t="s">
        <v>506</v>
      </c>
      <c r="E312" s="4">
        <v>1333</v>
      </c>
      <c r="F312" s="7" t="s">
        <v>102</v>
      </c>
      <c r="G312" s="7">
        <v>7</v>
      </c>
      <c r="H312" s="7" t="s">
        <v>727</v>
      </c>
      <c r="I312" s="7" t="s">
        <v>728</v>
      </c>
      <c r="J312" s="7">
        <v>8771.14</v>
      </c>
      <c r="K312" s="7" t="s">
        <v>729</v>
      </c>
      <c r="L312" s="7">
        <v>2106.14</v>
      </c>
      <c r="M312" s="1">
        <v>41944</v>
      </c>
      <c r="N312" s="4">
        <v>11</v>
      </c>
      <c r="O312" s="2" t="s">
        <v>94</v>
      </c>
      <c r="P312" s="4">
        <v>2014</v>
      </c>
      <c r="Q312" t="str">
        <f>IF(Table1[[#This Row],[UnitsSold]]&gt;3000,"Large",IF(Table1[[#This Row],[UnitsSold]]&gt;1500,"Midium","Small"))</f>
        <v>Small</v>
      </c>
    </row>
    <row r="313" spans="1:17" x14ac:dyDescent="0.3">
      <c r="A313" s="2" t="s">
        <v>7</v>
      </c>
      <c r="B313" s="2" t="s">
        <v>67</v>
      </c>
      <c r="C313" s="2" t="s">
        <v>111</v>
      </c>
      <c r="D313" s="2" t="s">
        <v>506</v>
      </c>
      <c r="E313" s="4">
        <v>1153</v>
      </c>
      <c r="F313" s="7" t="s">
        <v>112</v>
      </c>
      <c r="G313" s="7">
        <v>15</v>
      </c>
      <c r="H313" s="7" t="s">
        <v>721</v>
      </c>
      <c r="I313" s="7" t="s">
        <v>722</v>
      </c>
      <c r="J313" s="7">
        <v>16257.3</v>
      </c>
      <c r="K313" s="7" t="s">
        <v>723</v>
      </c>
      <c r="L313" s="7">
        <v>4727.3</v>
      </c>
      <c r="M313" s="1">
        <v>41913</v>
      </c>
      <c r="N313" s="4">
        <v>10</v>
      </c>
      <c r="O313" s="2" t="s">
        <v>66</v>
      </c>
      <c r="P313" s="4">
        <v>2014</v>
      </c>
      <c r="Q313" t="str">
        <f>IF(Table1[[#This Row],[UnitsSold]]&gt;3000,"Large",IF(Table1[[#This Row],[UnitsSold]]&gt;1500,"Midium","Small"))</f>
        <v>Small</v>
      </c>
    </row>
    <row r="314" spans="1:17" x14ac:dyDescent="0.3">
      <c r="A314" s="2" t="s">
        <v>47</v>
      </c>
      <c r="B314" s="2" t="s">
        <v>9</v>
      </c>
      <c r="C314" s="2" t="s">
        <v>23</v>
      </c>
      <c r="D314" s="2" t="s">
        <v>506</v>
      </c>
      <c r="E314" s="4">
        <v>727</v>
      </c>
      <c r="F314" s="7" t="s">
        <v>25</v>
      </c>
      <c r="G314" s="7">
        <v>12</v>
      </c>
      <c r="H314" s="7" t="s">
        <v>730</v>
      </c>
      <c r="I314" s="7" t="s">
        <v>731</v>
      </c>
      <c r="J314" s="7">
        <v>8113.32</v>
      </c>
      <c r="K314" s="7" t="s">
        <v>732</v>
      </c>
      <c r="L314" s="7">
        <v>5932.32</v>
      </c>
      <c r="M314" s="1">
        <v>41671</v>
      </c>
      <c r="N314" s="4">
        <v>2</v>
      </c>
      <c r="O314" s="2" t="s">
        <v>74</v>
      </c>
      <c r="P314" s="4">
        <v>2014</v>
      </c>
      <c r="Q314" t="str">
        <f>IF(Table1[[#This Row],[UnitsSold]]&gt;3000,"Large",IF(Table1[[#This Row],[UnitsSold]]&gt;1500,"Midium","Small"))</f>
        <v>Small</v>
      </c>
    </row>
    <row r="315" spans="1:17" x14ac:dyDescent="0.3">
      <c r="A315" s="2" t="s">
        <v>47</v>
      </c>
      <c r="B315" s="2" t="s">
        <v>5</v>
      </c>
      <c r="C315" s="2" t="s">
        <v>23</v>
      </c>
      <c r="D315" s="2" t="s">
        <v>506</v>
      </c>
      <c r="E315" s="4">
        <v>1884</v>
      </c>
      <c r="F315" s="7" t="s">
        <v>25</v>
      </c>
      <c r="G315" s="7">
        <v>12</v>
      </c>
      <c r="H315" s="7" t="s">
        <v>733</v>
      </c>
      <c r="I315" s="7" t="s">
        <v>734</v>
      </c>
      <c r="J315" s="7">
        <v>21025.439999999999</v>
      </c>
      <c r="K315" s="7" t="s">
        <v>735</v>
      </c>
      <c r="L315" s="7">
        <v>15373.44</v>
      </c>
      <c r="M315" s="1">
        <v>41852</v>
      </c>
      <c r="N315" s="4">
        <v>8</v>
      </c>
      <c r="O315" s="2" t="s">
        <v>60</v>
      </c>
      <c r="P315" s="4">
        <v>2014</v>
      </c>
      <c r="Q315" t="str">
        <f>IF(Table1[[#This Row],[UnitsSold]]&gt;3000,"Large",IF(Table1[[#This Row],[UnitsSold]]&gt;1500,"Midium","Small"))</f>
        <v>Midium</v>
      </c>
    </row>
    <row r="316" spans="1:17" x14ac:dyDescent="0.3">
      <c r="A316" s="2" t="s">
        <v>4</v>
      </c>
      <c r="B316" s="2" t="s">
        <v>9</v>
      </c>
      <c r="C316" s="2" t="s">
        <v>23</v>
      </c>
      <c r="D316" s="2" t="s">
        <v>506</v>
      </c>
      <c r="E316" s="4">
        <v>1834</v>
      </c>
      <c r="F316" s="7" t="s">
        <v>25</v>
      </c>
      <c r="G316" s="7">
        <v>20</v>
      </c>
      <c r="H316" s="7" t="s">
        <v>736</v>
      </c>
      <c r="I316" s="7" t="s">
        <v>737</v>
      </c>
      <c r="J316" s="7">
        <v>34112.400000000001</v>
      </c>
      <c r="K316" s="7" t="s">
        <v>738</v>
      </c>
      <c r="L316" s="7">
        <v>15772.4</v>
      </c>
      <c r="M316" s="1">
        <v>41518</v>
      </c>
      <c r="N316" s="4">
        <v>9</v>
      </c>
      <c r="O316" s="2" t="s">
        <v>63</v>
      </c>
      <c r="P316" s="4">
        <v>2013</v>
      </c>
      <c r="Q316" t="str">
        <f>IF(Table1[[#This Row],[UnitsSold]]&gt;3000,"Large",IF(Table1[[#This Row],[UnitsSold]]&gt;1500,"Midium","Small"))</f>
        <v>Midium</v>
      </c>
    </row>
    <row r="317" spans="1:17" x14ac:dyDescent="0.3">
      <c r="A317" s="2" t="s">
        <v>47</v>
      </c>
      <c r="B317" s="2" t="s">
        <v>9</v>
      </c>
      <c r="C317" s="2" t="s">
        <v>42</v>
      </c>
      <c r="D317" s="2" t="s">
        <v>506</v>
      </c>
      <c r="E317" s="4">
        <v>2340</v>
      </c>
      <c r="F317" s="7" t="s">
        <v>43</v>
      </c>
      <c r="G317" s="7">
        <v>12</v>
      </c>
      <c r="H317" s="7" t="s">
        <v>739</v>
      </c>
      <c r="I317" s="7" t="s">
        <v>740</v>
      </c>
      <c r="J317" s="7">
        <v>26114.400000000001</v>
      </c>
      <c r="K317" s="7" t="s">
        <v>741</v>
      </c>
      <c r="L317" s="7">
        <v>19094.400000000001</v>
      </c>
      <c r="M317" s="1">
        <v>41640</v>
      </c>
      <c r="N317" s="4">
        <v>1</v>
      </c>
      <c r="O317" s="2" t="s">
        <v>29</v>
      </c>
      <c r="P317" s="4">
        <v>2014</v>
      </c>
      <c r="Q317" t="str">
        <f>IF(Table1[[#This Row],[UnitsSold]]&gt;3000,"Large",IF(Table1[[#This Row],[UnitsSold]]&gt;1500,"Midium","Small"))</f>
        <v>Midium</v>
      </c>
    </row>
    <row r="318" spans="1:17" x14ac:dyDescent="0.3">
      <c r="A318" s="2" t="s">
        <v>47</v>
      </c>
      <c r="B318" s="2" t="s">
        <v>8</v>
      </c>
      <c r="C318" s="2" t="s">
        <v>42</v>
      </c>
      <c r="D318" s="2" t="s">
        <v>506</v>
      </c>
      <c r="E318" s="4">
        <v>2342</v>
      </c>
      <c r="F318" s="7" t="s">
        <v>43</v>
      </c>
      <c r="G318" s="7">
        <v>12</v>
      </c>
      <c r="H318" s="7" t="s">
        <v>561</v>
      </c>
      <c r="I318" s="7" t="s">
        <v>742</v>
      </c>
      <c r="J318" s="7">
        <v>26136.720000000001</v>
      </c>
      <c r="K318" s="7" t="s">
        <v>563</v>
      </c>
      <c r="L318" s="7">
        <v>19110.72</v>
      </c>
      <c r="M318" s="1">
        <v>41944</v>
      </c>
      <c r="N318" s="4">
        <v>11</v>
      </c>
      <c r="O318" s="2" t="s">
        <v>94</v>
      </c>
      <c r="P318" s="4">
        <v>2014</v>
      </c>
      <c r="Q318" t="str">
        <f>IF(Table1[[#This Row],[UnitsSold]]&gt;3000,"Large",IF(Table1[[#This Row],[UnitsSold]]&gt;1500,"Midium","Small"))</f>
        <v>Midium</v>
      </c>
    </row>
    <row r="319" spans="1:17" x14ac:dyDescent="0.3">
      <c r="A319" s="2" t="s">
        <v>4</v>
      </c>
      <c r="B319" s="2" t="s">
        <v>8</v>
      </c>
      <c r="C319" s="2" t="s">
        <v>70</v>
      </c>
      <c r="D319" s="2" t="s">
        <v>506</v>
      </c>
      <c r="E319" s="4">
        <v>1031</v>
      </c>
      <c r="F319" s="7" t="s">
        <v>71</v>
      </c>
      <c r="G319" s="7">
        <v>7</v>
      </c>
      <c r="H319" s="7" t="s">
        <v>743</v>
      </c>
      <c r="I319" s="7" t="s">
        <v>744</v>
      </c>
      <c r="J319" s="7">
        <v>6711.81</v>
      </c>
      <c r="K319" s="7" t="s">
        <v>745</v>
      </c>
      <c r="L319" s="7">
        <v>1556.81</v>
      </c>
      <c r="M319" s="1">
        <v>41518</v>
      </c>
      <c r="N319" s="4">
        <v>9</v>
      </c>
      <c r="O319" s="2" t="s">
        <v>63</v>
      </c>
      <c r="P319" s="4">
        <v>2013</v>
      </c>
      <c r="Q319" t="str">
        <f>IF(Table1[[#This Row],[UnitsSold]]&gt;3000,"Large",IF(Table1[[#This Row],[UnitsSold]]&gt;1500,"Midium","Small"))</f>
        <v>Small</v>
      </c>
    </row>
    <row r="320" spans="1:17" x14ac:dyDescent="0.3">
      <c r="A320" s="2" t="s">
        <v>7</v>
      </c>
      <c r="B320" s="2" t="s">
        <v>5</v>
      </c>
      <c r="C320" s="2" t="s">
        <v>101</v>
      </c>
      <c r="D320" s="2" t="s">
        <v>506</v>
      </c>
      <c r="E320" s="4">
        <v>1262</v>
      </c>
      <c r="F320" s="7" t="s">
        <v>102</v>
      </c>
      <c r="G320" s="7">
        <v>15</v>
      </c>
      <c r="H320" s="7" t="s">
        <v>746</v>
      </c>
      <c r="I320" s="7" t="s">
        <v>747</v>
      </c>
      <c r="J320" s="7">
        <v>17604.900000000001</v>
      </c>
      <c r="K320" s="7" t="s">
        <v>748</v>
      </c>
      <c r="L320" s="7">
        <v>4984.8999999999996</v>
      </c>
      <c r="M320" s="1">
        <v>41760</v>
      </c>
      <c r="N320" s="4">
        <v>5</v>
      </c>
      <c r="O320" s="2" t="s">
        <v>145</v>
      </c>
      <c r="P320" s="4">
        <v>2014</v>
      </c>
      <c r="Q320" t="str">
        <f>IF(Table1[[#This Row],[UnitsSold]]&gt;3000,"Large",IF(Table1[[#This Row],[UnitsSold]]&gt;1500,"Midium","Small"))</f>
        <v>Small</v>
      </c>
    </row>
    <row r="321" spans="1:17" x14ac:dyDescent="0.3">
      <c r="A321" s="2" t="s">
        <v>4</v>
      </c>
      <c r="B321" s="2" t="s">
        <v>5</v>
      </c>
      <c r="C321" s="2" t="s">
        <v>101</v>
      </c>
      <c r="D321" s="2" t="s">
        <v>506</v>
      </c>
      <c r="E321" s="4">
        <v>1135</v>
      </c>
      <c r="F321" s="7" t="s">
        <v>102</v>
      </c>
      <c r="G321" s="7">
        <v>7</v>
      </c>
      <c r="H321" s="7" t="s">
        <v>749</v>
      </c>
      <c r="I321" s="7" t="s">
        <v>750</v>
      </c>
      <c r="J321" s="7">
        <v>7388.85</v>
      </c>
      <c r="K321" s="7" t="s">
        <v>751</v>
      </c>
      <c r="L321" s="7">
        <v>1713.85</v>
      </c>
      <c r="M321" s="1">
        <v>41791</v>
      </c>
      <c r="N321" s="4">
        <v>6</v>
      </c>
      <c r="O321" s="2" t="s">
        <v>34</v>
      </c>
      <c r="P321" s="4">
        <v>2014</v>
      </c>
      <c r="Q321" t="str">
        <f>IF(Table1[[#This Row],[UnitsSold]]&gt;3000,"Large",IF(Table1[[#This Row],[UnitsSold]]&gt;1500,"Midium","Small"))</f>
        <v>Small</v>
      </c>
    </row>
    <row r="322" spans="1:17" x14ac:dyDescent="0.3">
      <c r="A322" s="2" t="s">
        <v>4</v>
      </c>
      <c r="B322" s="2" t="s">
        <v>67</v>
      </c>
      <c r="C322" s="2" t="s">
        <v>101</v>
      </c>
      <c r="D322" s="2" t="s">
        <v>506</v>
      </c>
      <c r="E322" s="4">
        <v>547</v>
      </c>
      <c r="F322" s="7" t="s">
        <v>102</v>
      </c>
      <c r="G322" s="7">
        <v>7</v>
      </c>
      <c r="H322" s="7" t="s">
        <v>752</v>
      </c>
      <c r="I322" s="7" t="s">
        <v>753</v>
      </c>
      <c r="J322" s="7">
        <v>3560.97</v>
      </c>
      <c r="K322" s="7" t="s">
        <v>754</v>
      </c>
      <c r="L322" s="7">
        <v>825.97</v>
      </c>
      <c r="M322" s="1">
        <v>41944</v>
      </c>
      <c r="N322" s="4">
        <v>11</v>
      </c>
      <c r="O322" s="2" t="s">
        <v>94</v>
      </c>
      <c r="P322" s="4">
        <v>2014</v>
      </c>
      <c r="Q322" t="str">
        <f>IF(Table1[[#This Row],[UnitsSold]]&gt;3000,"Large",IF(Table1[[#This Row],[UnitsSold]]&gt;1500,"Midium","Small"))</f>
        <v>Small</v>
      </c>
    </row>
    <row r="323" spans="1:17" x14ac:dyDescent="0.3">
      <c r="A323" s="2" t="s">
        <v>4</v>
      </c>
      <c r="B323" s="2" t="s">
        <v>5</v>
      </c>
      <c r="C323" s="2" t="s">
        <v>101</v>
      </c>
      <c r="D323" s="2" t="s">
        <v>506</v>
      </c>
      <c r="E323" s="4">
        <v>1582</v>
      </c>
      <c r="F323" s="7" t="s">
        <v>102</v>
      </c>
      <c r="G323" s="7">
        <v>7</v>
      </c>
      <c r="H323" s="7" t="s">
        <v>755</v>
      </c>
      <c r="I323" s="7" t="s">
        <v>756</v>
      </c>
      <c r="J323" s="7">
        <v>10298.82</v>
      </c>
      <c r="K323" s="7" t="s">
        <v>757</v>
      </c>
      <c r="L323" s="7">
        <v>2388.8200000000002</v>
      </c>
      <c r="M323" s="1">
        <v>41974</v>
      </c>
      <c r="N323" s="4">
        <v>12</v>
      </c>
      <c r="O323" s="2" t="s">
        <v>41</v>
      </c>
      <c r="P323" s="4">
        <v>2014</v>
      </c>
      <c r="Q323" t="str">
        <f>IF(Table1[[#This Row],[UnitsSold]]&gt;3000,"Large",IF(Table1[[#This Row],[UnitsSold]]&gt;1500,"Midium","Small"))</f>
        <v>Midium</v>
      </c>
    </row>
    <row r="324" spans="1:17" x14ac:dyDescent="0.3">
      <c r="A324" s="2" t="s">
        <v>47</v>
      </c>
      <c r="B324" s="2" t="s">
        <v>8</v>
      </c>
      <c r="C324" s="2" t="s">
        <v>111</v>
      </c>
      <c r="D324" s="2" t="s">
        <v>506</v>
      </c>
      <c r="E324" s="4">
        <v>1738.5</v>
      </c>
      <c r="F324" s="7" t="s">
        <v>112</v>
      </c>
      <c r="G324" s="7">
        <v>12</v>
      </c>
      <c r="H324" s="7" t="s">
        <v>758</v>
      </c>
      <c r="I324" s="7" t="s">
        <v>759</v>
      </c>
      <c r="J324" s="7">
        <v>19401.66</v>
      </c>
      <c r="K324" s="7" t="s">
        <v>760</v>
      </c>
      <c r="L324" s="7">
        <v>14186.16</v>
      </c>
      <c r="M324" s="1">
        <v>41730</v>
      </c>
      <c r="N324" s="4">
        <v>4</v>
      </c>
      <c r="O324" s="2" t="s">
        <v>117</v>
      </c>
      <c r="P324" s="4">
        <v>2014</v>
      </c>
      <c r="Q324" t="str">
        <f>IF(Table1[[#This Row],[UnitsSold]]&gt;3000,"Large",IF(Table1[[#This Row],[UnitsSold]]&gt;1500,"Midium","Small"))</f>
        <v>Midium</v>
      </c>
    </row>
    <row r="325" spans="1:17" x14ac:dyDescent="0.3">
      <c r="A325" s="2" t="s">
        <v>47</v>
      </c>
      <c r="B325" s="2" t="s">
        <v>6</v>
      </c>
      <c r="C325" s="2" t="s">
        <v>111</v>
      </c>
      <c r="D325" s="2" t="s">
        <v>506</v>
      </c>
      <c r="E325" s="4">
        <v>2215</v>
      </c>
      <c r="F325" s="7" t="s">
        <v>112</v>
      </c>
      <c r="G325" s="7">
        <v>12</v>
      </c>
      <c r="H325" s="7" t="s">
        <v>761</v>
      </c>
      <c r="I325" s="7" t="s">
        <v>762</v>
      </c>
      <c r="J325" s="7">
        <v>24719.4</v>
      </c>
      <c r="K325" s="7" t="s">
        <v>763</v>
      </c>
      <c r="L325" s="7">
        <v>18074.400000000001</v>
      </c>
      <c r="M325" s="1">
        <v>41518</v>
      </c>
      <c r="N325" s="4">
        <v>9</v>
      </c>
      <c r="O325" s="2" t="s">
        <v>63</v>
      </c>
      <c r="P325" s="4">
        <v>2013</v>
      </c>
      <c r="Q325" t="str">
        <f>IF(Table1[[#This Row],[UnitsSold]]&gt;3000,"Large",IF(Table1[[#This Row],[UnitsSold]]&gt;1500,"Midium","Small"))</f>
        <v>Midium</v>
      </c>
    </row>
    <row r="326" spans="1:17" x14ac:dyDescent="0.3">
      <c r="A326" s="2" t="s">
        <v>4</v>
      </c>
      <c r="B326" s="2" t="s">
        <v>5</v>
      </c>
      <c r="C326" s="2" t="s">
        <v>111</v>
      </c>
      <c r="D326" s="2" t="s">
        <v>506</v>
      </c>
      <c r="E326" s="4">
        <v>1582</v>
      </c>
      <c r="F326" s="7" t="s">
        <v>112</v>
      </c>
      <c r="G326" s="7">
        <v>7</v>
      </c>
      <c r="H326" s="7" t="s">
        <v>755</v>
      </c>
      <c r="I326" s="7" t="s">
        <v>756</v>
      </c>
      <c r="J326" s="7">
        <v>10298.82</v>
      </c>
      <c r="K326" s="7" t="s">
        <v>757</v>
      </c>
      <c r="L326" s="7">
        <v>2388.8200000000002</v>
      </c>
      <c r="M326" s="1">
        <v>41974</v>
      </c>
      <c r="N326" s="4">
        <v>12</v>
      </c>
      <c r="O326" s="2" t="s">
        <v>41</v>
      </c>
      <c r="P326" s="4">
        <v>2014</v>
      </c>
      <c r="Q326" t="str">
        <f>IF(Table1[[#This Row],[UnitsSold]]&gt;3000,"Large",IF(Table1[[#This Row],[UnitsSold]]&gt;1500,"Midium","Small"))</f>
        <v>Midium</v>
      </c>
    </row>
    <row r="327" spans="1:17" x14ac:dyDescent="0.3">
      <c r="A327" s="2" t="s">
        <v>4</v>
      </c>
      <c r="B327" s="2" t="s">
        <v>5</v>
      </c>
      <c r="C327" s="2" t="s">
        <v>122</v>
      </c>
      <c r="D327" s="2" t="s">
        <v>506</v>
      </c>
      <c r="E327" s="4">
        <v>1135</v>
      </c>
      <c r="F327" s="7" t="s">
        <v>123</v>
      </c>
      <c r="G327" s="7">
        <v>7</v>
      </c>
      <c r="H327" s="7" t="s">
        <v>749</v>
      </c>
      <c r="I327" s="7" t="s">
        <v>750</v>
      </c>
      <c r="J327" s="7">
        <v>7388.85</v>
      </c>
      <c r="K327" s="7" t="s">
        <v>751</v>
      </c>
      <c r="L327" s="7">
        <v>1713.85</v>
      </c>
      <c r="M327" s="1">
        <v>41791</v>
      </c>
      <c r="N327" s="4">
        <v>6</v>
      </c>
      <c r="O327" s="2" t="s">
        <v>34</v>
      </c>
      <c r="P327" s="4">
        <v>2014</v>
      </c>
      <c r="Q327" t="str">
        <f>IF(Table1[[#This Row],[UnitsSold]]&gt;3000,"Large",IF(Table1[[#This Row],[UnitsSold]]&gt;1500,"Midium","Small"))</f>
        <v>Small</v>
      </c>
    </row>
    <row r="328" spans="1:17" x14ac:dyDescent="0.3">
      <c r="A328" s="2" t="s">
        <v>4</v>
      </c>
      <c r="B328" s="2" t="s">
        <v>67</v>
      </c>
      <c r="C328" s="2" t="s">
        <v>23</v>
      </c>
      <c r="D328" s="2" t="s">
        <v>506</v>
      </c>
      <c r="E328" s="4">
        <v>1761</v>
      </c>
      <c r="F328" s="7" t="s">
        <v>25</v>
      </c>
      <c r="G328" s="7">
        <v>350</v>
      </c>
      <c r="H328" s="7" t="s">
        <v>764</v>
      </c>
      <c r="I328" s="7" t="s">
        <v>765</v>
      </c>
      <c r="J328" s="7" t="s">
        <v>1732</v>
      </c>
      <c r="K328" s="7" t="s">
        <v>766</v>
      </c>
      <c r="L328" s="7" t="s">
        <v>1887</v>
      </c>
      <c r="M328" s="1">
        <v>41699</v>
      </c>
      <c r="N328" s="4">
        <v>3</v>
      </c>
      <c r="O328" s="2" t="s">
        <v>46</v>
      </c>
      <c r="P328" s="4">
        <v>2014</v>
      </c>
      <c r="Q328" t="str">
        <f>IF(Table1[[#This Row],[UnitsSold]]&gt;3000,"Large",IF(Table1[[#This Row],[UnitsSold]]&gt;1500,"Midium","Small"))</f>
        <v>Midium</v>
      </c>
    </row>
    <row r="329" spans="1:17" x14ac:dyDescent="0.3">
      <c r="A329" s="2" t="s">
        <v>57</v>
      </c>
      <c r="B329" s="2" t="s">
        <v>8</v>
      </c>
      <c r="C329" s="2" t="s">
        <v>23</v>
      </c>
      <c r="D329" s="2" t="s">
        <v>506</v>
      </c>
      <c r="E329" s="4">
        <v>448</v>
      </c>
      <c r="F329" s="7" t="s">
        <v>25</v>
      </c>
      <c r="G329" s="7">
        <v>300</v>
      </c>
      <c r="H329" s="7" t="s">
        <v>767</v>
      </c>
      <c r="I329" s="7" t="s">
        <v>768</v>
      </c>
      <c r="J329" s="7" t="s">
        <v>1733</v>
      </c>
      <c r="K329" s="7" t="s">
        <v>769</v>
      </c>
      <c r="L329" s="7">
        <v>12992</v>
      </c>
      <c r="M329" s="1">
        <v>41791</v>
      </c>
      <c r="N329" s="4">
        <v>6</v>
      </c>
      <c r="O329" s="2" t="s">
        <v>34</v>
      </c>
      <c r="P329" s="4">
        <v>2014</v>
      </c>
      <c r="Q329" t="str">
        <f>IF(Table1[[#This Row],[UnitsSold]]&gt;3000,"Large",IF(Table1[[#This Row],[UnitsSold]]&gt;1500,"Midium","Small"))</f>
        <v>Small</v>
      </c>
    </row>
    <row r="330" spans="1:17" x14ac:dyDescent="0.3">
      <c r="A330" s="2" t="s">
        <v>57</v>
      </c>
      <c r="B330" s="2" t="s">
        <v>8</v>
      </c>
      <c r="C330" s="2" t="s">
        <v>23</v>
      </c>
      <c r="D330" s="2" t="s">
        <v>506</v>
      </c>
      <c r="E330" s="4">
        <v>2181</v>
      </c>
      <c r="F330" s="7" t="s">
        <v>25</v>
      </c>
      <c r="G330" s="7">
        <v>300</v>
      </c>
      <c r="H330" s="7" t="s">
        <v>770</v>
      </c>
      <c r="I330" s="7" t="s">
        <v>771</v>
      </c>
      <c r="J330" s="7" t="s">
        <v>1734</v>
      </c>
      <c r="K330" s="7" t="s">
        <v>772</v>
      </c>
      <c r="L330" s="7">
        <v>63249</v>
      </c>
      <c r="M330" s="1">
        <v>41913</v>
      </c>
      <c r="N330" s="4">
        <v>10</v>
      </c>
      <c r="O330" s="2" t="s">
        <v>66</v>
      </c>
      <c r="P330" s="4">
        <v>2014</v>
      </c>
      <c r="Q330" t="str">
        <f>IF(Table1[[#This Row],[UnitsSold]]&gt;3000,"Large",IF(Table1[[#This Row],[UnitsSold]]&gt;1500,"Midium","Small"))</f>
        <v>Midium</v>
      </c>
    </row>
    <row r="331" spans="1:17" x14ac:dyDescent="0.3">
      <c r="A331" s="2" t="s">
        <v>4</v>
      </c>
      <c r="B331" s="2" t="s">
        <v>8</v>
      </c>
      <c r="C331" s="2" t="s">
        <v>42</v>
      </c>
      <c r="D331" s="2" t="s">
        <v>506</v>
      </c>
      <c r="E331" s="4">
        <v>1976</v>
      </c>
      <c r="F331" s="7" t="s">
        <v>43</v>
      </c>
      <c r="G331" s="7">
        <v>20</v>
      </c>
      <c r="H331" s="7" t="s">
        <v>773</v>
      </c>
      <c r="I331" s="7" t="s">
        <v>774</v>
      </c>
      <c r="J331" s="7">
        <v>36753.599999999999</v>
      </c>
      <c r="K331" s="7" t="s">
        <v>775</v>
      </c>
      <c r="L331" s="7">
        <v>16993.599999999999</v>
      </c>
      <c r="M331" s="1">
        <v>41913</v>
      </c>
      <c r="N331" s="4">
        <v>10</v>
      </c>
      <c r="O331" s="2" t="s">
        <v>66</v>
      </c>
      <c r="P331" s="4">
        <v>2014</v>
      </c>
      <c r="Q331" t="str">
        <f>IF(Table1[[#This Row],[UnitsSold]]&gt;3000,"Large",IF(Table1[[#This Row],[UnitsSold]]&gt;1500,"Midium","Small"))</f>
        <v>Midium</v>
      </c>
    </row>
    <row r="332" spans="1:17" x14ac:dyDescent="0.3">
      <c r="A332" s="2" t="s">
        <v>57</v>
      </c>
      <c r="B332" s="2" t="s">
        <v>8</v>
      </c>
      <c r="C332" s="2" t="s">
        <v>42</v>
      </c>
      <c r="D332" s="2" t="s">
        <v>506</v>
      </c>
      <c r="E332" s="4">
        <v>2181</v>
      </c>
      <c r="F332" s="7" t="s">
        <v>43</v>
      </c>
      <c r="G332" s="7">
        <v>300</v>
      </c>
      <c r="H332" s="7" t="s">
        <v>770</v>
      </c>
      <c r="I332" s="7" t="s">
        <v>771</v>
      </c>
      <c r="J332" s="7" t="s">
        <v>1734</v>
      </c>
      <c r="K332" s="7" t="s">
        <v>772</v>
      </c>
      <c r="L332" s="7">
        <v>63249</v>
      </c>
      <c r="M332" s="1">
        <v>41913</v>
      </c>
      <c r="N332" s="4">
        <v>10</v>
      </c>
      <c r="O332" s="2" t="s">
        <v>66</v>
      </c>
      <c r="P332" s="4">
        <v>2014</v>
      </c>
      <c r="Q332" t="str">
        <f>IF(Table1[[#This Row],[UnitsSold]]&gt;3000,"Large",IF(Table1[[#This Row],[UnitsSold]]&gt;1500,"Midium","Small"))</f>
        <v>Midium</v>
      </c>
    </row>
    <row r="333" spans="1:17" x14ac:dyDescent="0.3">
      <c r="A333" s="2" t="s">
        <v>10</v>
      </c>
      <c r="B333" s="2" t="s">
        <v>6</v>
      </c>
      <c r="C333" s="2" t="s">
        <v>42</v>
      </c>
      <c r="D333" s="2" t="s">
        <v>506</v>
      </c>
      <c r="E333" s="4">
        <v>2500</v>
      </c>
      <c r="F333" s="7" t="s">
        <v>43</v>
      </c>
      <c r="G333" s="7">
        <v>125</v>
      </c>
      <c r="H333" s="7" t="s">
        <v>632</v>
      </c>
      <c r="I333" s="7" t="s">
        <v>776</v>
      </c>
      <c r="J333" s="7" t="s">
        <v>1735</v>
      </c>
      <c r="K333" s="7" t="s">
        <v>777</v>
      </c>
      <c r="L333" s="7">
        <v>9375</v>
      </c>
      <c r="M333" s="1">
        <v>41579</v>
      </c>
      <c r="N333" s="4">
        <v>11</v>
      </c>
      <c r="O333" s="2" t="s">
        <v>94</v>
      </c>
      <c r="P333" s="4">
        <v>2013</v>
      </c>
      <c r="Q333" t="str">
        <f>IF(Table1[[#This Row],[UnitsSold]]&gt;3000,"Large",IF(Table1[[#This Row],[UnitsSold]]&gt;1500,"Midium","Small"))</f>
        <v>Midium</v>
      </c>
    </row>
    <row r="334" spans="1:17" x14ac:dyDescent="0.3">
      <c r="A334" s="2" t="s">
        <v>57</v>
      </c>
      <c r="B334" s="2" t="s">
        <v>5</v>
      </c>
      <c r="C334" s="2" t="s">
        <v>70</v>
      </c>
      <c r="D334" s="2" t="s">
        <v>506</v>
      </c>
      <c r="E334" s="4">
        <v>1702</v>
      </c>
      <c r="F334" s="7" t="s">
        <v>71</v>
      </c>
      <c r="G334" s="7">
        <v>300</v>
      </c>
      <c r="H334" s="7" t="s">
        <v>778</v>
      </c>
      <c r="I334" s="7" t="s">
        <v>779</v>
      </c>
      <c r="J334" s="7" t="s">
        <v>1736</v>
      </c>
      <c r="K334" s="7" t="s">
        <v>780</v>
      </c>
      <c r="L334" s="7">
        <v>49358</v>
      </c>
      <c r="M334" s="1">
        <v>41760</v>
      </c>
      <c r="N334" s="4">
        <v>5</v>
      </c>
      <c r="O334" s="2" t="s">
        <v>145</v>
      </c>
      <c r="P334" s="4">
        <v>2014</v>
      </c>
      <c r="Q334" t="str">
        <f>IF(Table1[[#This Row],[UnitsSold]]&gt;3000,"Large",IF(Table1[[#This Row],[UnitsSold]]&gt;1500,"Midium","Small"))</f>
        <v>Midium</v>
      </c>
    </row>
    <row r="335" spans="1:17" x14ac:dyDescent="0.3">
      <c r="A335" s="2" t="s">
        <v>57</v>
      </c>
      <c r="B335" s="2" t="s">
        <v>8</v>
      </c>
      <c r="C335" s="2" t="s">
        <v>70</v>
      </c>
      <c r="D335" s="2" t="s">
        <v>506</v>
      </c>
      <c r="E335" s="4">
        <v>448</v>
      </c>
      <c r="F335" s="7" t="s">
        <v>71</v>
      </c>
      <c r="G335" s="7">
        <v>300</v>
      </c>
      <c r="H335" s="7" t="s">
        <v>767</v>
      </c>
      <c r="I335" s="7" t="s">
        <v>768</v>
      </c>
      <c r="J335" s="7" t="s">
        <v>1733</v>
      </c>
      <c r="K335" s="7" t="s">
        <v>769</v>
      </c>
      <c r="L335" s="7">
        <v>12992</v>
      </c>
      <c r="M335" s="1">
        <v>41791</v>
      </c>
      <c r="N335" s="4">
        <v>6</v>
      </c>
      <c r="O335" s="2" t="s">
        <v>34</v>
      </c>
      <c r="P335" s="4">
        <v>2014</v>
      </c>
      <c r="Q335" t="str">
        <f>IF(Table1[[#This Row],[UnitsSold]]&gt;3000,"Large",IF(Table1[[#This Row],[UnitsSold]]&gt;1500,"Midium","Small"))</f>
        <v>Small</v>
      </c>
    </row>
    <row r="336" spans="1:17" x14ac:dyDescent="0.3">
      <c r="A336" s="2" t="s">
        <v>10</v>
      </c>
      <c r="B336" s="2" t="s">
        <v>6</v>
      </c>
      <c r="C336" s="2" t="s">
        <v>70</v>
      </c>
      <c r="D336" s="2" t="s">
        <v>506</v>
      </c>
      <c r="E336" s="4">
        <v>3513</v>
      </c>
      <c r="F336" s="7" t="s">
        <v>71</v>
      </c>
      <c r="G336" s="7">
        <v>125</v>
      </c>
      <c r="H336" s="7" t="s">
        <v>781</v>
      </c>
      <c r="I336" s="7" t="s">
        <v>782</v>
      </c>
      <c r="J336" s="7" t="s">
        <v>1737</v>
      </c>
      <c r="K336" s="7" t="s">
        <v>783</v>
      </c>
      <c r="L336" s="7">
        <v>13173.75</v>
      </c>
      <c r="M336" s="1">
        <v>41821</v>
      </c>
      <c r="N336" s="4">
        <v>7</v>
      </c>
      <c r="O336" s="2" t="s">
        <v>56</v>
      </c>
      <c r="P336" s="4">
        <v>2014</v>
      </c>
      <c r="Q336" t="str">
        <f>IF(Table1[[#This Row],[UnitsSold]]&gt;3000,"Large",IF(Table1[[#This Row],[UnitsSold]]&gt;1500,"Midium","Small"))</f>
        <v>Large</v>
      </c>
    </row>
    <row r="337" spans="1:17" x14ac:dyDescent="0.3">
      <c r="A337" s="2" t="s">
        <v>7</v>
      </c>
      <c r="B337" s="2" t="s">
        <v>8</v>
      </c>
      <c r="C337" s="2" t="s">
        <v>70</v>
      </c>
      <c r="D337" s="2" t="s">
        <v>506</v>
      </c>
      <c r="E337" s="4">
        <v>2101</v>
      </c>
      <c r="F337" s="7" t="s">
        <v>71</v>
      </c>
      <c r="G337" s="7">
        <v>15</v>
      </c>
      <c r="H337" s="7" t="s">
        <v>784</v>
      </c>
      <c r="I337" s="7" t="s">
        <v>785</v>
      </c>
      <c r="J337" s="7">
        <v>29308.95</v>
      </c>
      <c r="K337" s="7" t="s">
        <v>786</v>
      </c>
      <c r="L337" s="7">
        <v>8298.9500000000007</v>
      </c>
      <c r="M337" s="1">
        <v>41852</v>
      </c>
      <c r="N337" s="4">
        <v>8</v>
      </c>
      <c r="O337" s="2" t="s">
        <v>60</v>
      </c>
      <c r="P337" s="4">
        <v>2014</v>
      </c>
      <c r="Q337" t="str">
        <f>IF(Table1[[#This Row],[UnitsSold]]&gt;3000,"Large",IF(Table1[[#This Row],[UnitsSold]]&gt;1500,"Midium","Small"))</f>
        <v>Midium</v>
      </c>
    </row>
    <row r="338" spans="1:17" x14ac:dyDescent="0.3">
      <c r="A338" s="2" t="s">
        <v>7</v>
      </c>
      <c r="B338" s="2" t="s">
        <v>67</v>
      </c>
      <c r="C338" s="2" t="s">
        <v>70</v>
      </c>
      <c r="D338" s="2" t="s">
        <v>506</v>
      </c>
      <c r="E338" s="4">
        <v>2931</v>
      </c>
      <c r="F338" s="7" t="s">
        <v>71</v>
      </c>
      <c r="G338" s="7">
        <v>15</v>
      </c>
      <c r="H338" s="7" t="s">
        <v>787</v>
      </c>
      <c r="I338" s="7" t="s">
        <v>788</v>
      </c>
      <c r="J338" s="7">
        <v>40887.449999999997</v>
      </c>
      <c r="K338" s="7" t="s">
        <v>789</v>
      </c>
      <c r="L338" s="7">
        <v>11577.45</v>
      </c>
      <c r="M338" s="1">
        <v>41518</v>
      </c>
      <c r="N338" s="4">
        <v>9</v>
      </c>
      <c r="O338" s="2" t="s">
        <v>63</v>
      </c>
      <c r="P338" s="4">
        <v>2013</v>
      </c>
      <c r="Q338" t="str">
        <f>IF(Table1[[#This Row],[UnitsSold]]&gt;3000,"Large",IF(Table1[[#This Row],[UnitsSold]]&gt;1500,"Midium","Small"))</f>
        <v>Midium</v>
      </c>
    </row>
    <row r="339" spans="1:17" x14ac:dyDescent="0.3">
      <c r="A339" s="2" t="s">
        <v>4</v>
      </c>
      <c r="B339" s="2" t="s">
        <v>8</v>
      </c>
      <c r="C339" s="2" t="s">
        <v>70</v>
      </c>
      <c r="D339" s="2" t="s">
        <v>506</v>
      </c>
      <c r="E339" s="4">
        <v>1535</v>
      </c>
      <c r="F339" s="7" t="s">
        <v>71</v>
      </c>
      <c r="G339" s="7">
        <v>20</v>
      </c>
      <c r="H339" s="7" t="s">
        <v>790</v>
      </c>
      <c r="I339" s="7" t="s">
        <v>791</v>
      </c>
      <c r="J339" s="7">
        <v>28551</v>
      </c>
      <c r="K339" s="7" t="s">
        <v>792</v>
      </c>
      <c r="L339" s="7">
        <v>13201</v>
      </c>
      <c r="M339" s="1">
        <v>41883</v>
      </c>
      <c r="N339" s="4">
        <v>9</v>
      </c>
      <c r="O339" s="2" t="s">
        <v>63</v>
      </c>
      <c r="P339" s="4">
        <v>2014</v>
      </c>
      <c r="Q339" t="str">
        <f>IF(Table1[[#This Row],[UnitsSold]]&gt;3000,"Large",IF(Table1[[#This Row],[UnitsSold]]&gt;1500,"Midium","Small"))</f>
        <v>Midium</v>
      </c>
    </row>
    <row r="340" spans="1:17" x14ac:dyDescent="0.3">
      <c r="A340" s="2" t="s">
        <v>57</v>
      </c>
      <c r="B340" s="2" t="s">
        <v>6</v>
      </c>
      <c r="C340" s="2" t="s">
        <v>70</v>
      </c>
      <c r="D340" s="2" t="s">
        <v>506</v>
      </c>
      <c r="E340" s="4">
        <v>1123</v>
      </c>
      <c r="F340" s="7" t="s">
        <v>71</v>
      </c>
      <c r="G340" s="7">
        <v>300</v>
      </c>
      <c r="H340" s="7" t="s">
        <v>793</v>
      </c>
      <c r="I340" s="7" t="s">
        <v>794</v>
      </c>
      <c r="J340" s="7" t="s">
        <v>1738</v>
      </c>
      <c r="K340" s="7" t="s">
        <v>795</v>
      </c>
      <c r="L340" s="7">
        <v>32567</v>
      </c>
      <c r="M340" s="1">
        <v>41518</v>
      </c>
      <c r="N340" s="4">
        <v>9</v>
      </c>
      <c r="O340" s="2" t="s">
        <v>63</v>
      </c>
      <c r="P340" s="4">
        <v>2013</v>
      </c>
      <c r="Q340" t="str">
        <f>IF(Table1[[#This Row],[UnitsSold]]&gt;3000,"Large",IF(Table1[[#This Row],[UnitsSold]]&gt;1500,"Midium","Small"))</f>
        <v>Small</v>
      </c>
    </row>
    <row r="341" spans="1:17" x14ac:dyDescent="0.3">
      <c r="A341" s="2" t="s">
        <v>57</v>
      </c>
      <c r="B341" s="2" t="s">
        <v>5</v>
      </c>
      <c r="C341" s="2" t="s">
        <v>70</v>
      </c>
      <c r="D341" s="2" t="s">
        <v>506</v>
      </c>
      <c r="E341" s="4">
        <v>1404</v>
      </c>
      <c r="F341" s="7" t="s">
        <v>71</v>
      </c>
      <c r="G341" s="7">
        <v>300</v>
      </c>
      <c r="H341" s="7" t="s">
        <v>796</v>
      </c>
      <c r="I341" s="7" t="s">
        <v>797</v>
      </c>
      <c r="J341" s="7" t="s">
        <v>1739</v>
      </c>
      <c r="K341" s="7" t="s">
        <v>641</v>
      </c>
      <c r="L341" s="7">
        <v>40716</v>
      </c>
      <c r="M341" s="1">
        <v>41579</v>
      </c>
      <c r="N341" s="4">
        <v>11</v>
      </c>
      <c r="O341" s="2" t="s">
        <v>94</v>
      </c>
      <c r="P341" s="4">
        <v>2013</v>
      </c>
      <c r="Q341" t="str">
        <f>IF(Table1[[#This Row],[UnitsSold]]&gt;3000,"Large",IF(Table1[[#This Row],[UnitsSold]]&gt;1500,"Midium","Small"))</f>
        <v>Small</v>
      </c>
    </row>
    <row r="342" spans="1:17" x14ac:dyDescent="0.3">
      <c r="A342" s="2" t="s">
        <v>47</v>
      </c>
      <c r="B342" s="2" t="s">
        <v>9</v>
      </c>
      <c r="C342" s="2" t="s">
        <v>70</v>
      </c>
      <c r="D342" s="2" t="s">
        <v>506</v>
      </c>
      <c r="E342" s="4">
        <v>2763</v>
      </c>
      <c r="F342" s="7" t="s">
        <v>71</v>
      </c>
      <c r="G342" s="7">
        <v>12</v>
      </c>
      <c r="H342" s="7" t="s">
        <v>798</v>
      </c>
      <c r="I342" s="7" t="s">
        <v>799</v>
      </c>
      <c r="J342" s="7">
        <v>30835.08</v>
      </c>
      <c r="K342" s="7" t="s">
        <v>800</v>
      </c>
      <c r="L342" s="7">
        <v>22546.080000000002</v>
      </c>
      <c r="M342" s="1">
        <v>41579</v>
      </c>
      <c r="N342" s="4">
        <v>11</v>
      </c>
      <c r="O342" s="2" t="s">
        <v>94</v>
      </c>
      <c r="P342" s="4">
        <v>2013</v>
      </c>
      <c r="Q342" t="str">
        <f>IF(Table1[[#This Row],[UnitsSold]]&gt;3000,"Large",IF(Table1[[#This Row],[UnitsSold]]&gt;1500,"Midium","Small"))</f>
        <v>Midium</v>
      </c>
    </row>
    <row r="343" spans="1:17" x14ac:dyDescent="0.3">
      <c r="A343" s="2" t="s">
        <v>4</v>
      </c>
      <c r="B343" s="2" t="s">
        <v>6</v>
      </c>
      <c r="C343" s="2" t="s">
        <v>70</v>
      </c>
      <c r="D343" s="2" t="s">
        <v>506</v>
      </c>
      <c r="E343" s="4">
        <v>2125</v>
      </c>
      <c r="F343" s="7" t="s">
        <v>71</v>
      </c>
      <c r="G343" s="7">
        <v>7</v>
      </c>
      <c r="H343" s="7" t="s">
        <v>801</v>
      </c>
      <c r="I343" s="7" t="s">
        <v>802</v>
      </c>
      <c r="J343" s="7">
        <v>13833.75</v>
      </c>
      <c r="K343" s="7" t="s">
        <v>803</v>
      </c>
      <c r="L343" s="7">
        <v>3208.75</v>
      </c>
      <c r="M343" s="1">
        <v>41609</v>
      </c>
      <c r="N343" s="4">
        <v>12</v>
      </c>
      <c r="O343" s="2" t="s">
        <v>41</v>
      </c>
      <c r="P343" s="4">
        <v>2013</v>
      </c>
      <c r="Q343" t="str">
        <f>IF(Table1[[#This Row],[UnitsSold]]&gt;3000,"Large",IF(Table1[[#This Row],[UnitsSold]]&gt;1500,"Midium","Small"))</f>
        <v>Midium</v>
      </c>
    </row>
    <row r="344" spans="1:17" x14ac:dyDescent="0.3">
      <c r="A344" s="2" t="s">
        <v>57</v>
      </c>
      <c r="B344" s="2" t="s">
        <v>8</v>
      </c>
      <c r="C344" s="2" t="s">
        <v>101</v>
      </c>
      <c r="D344" s="2" t="s">
        <v>506</v>
      </c>
      <c r="E344" s="4">
        <v>1659</v>
      </c>
      <c r="F344" s="7" t="s">
        <v>102</v>
      </c>
      <c r="G344" s="7">
        <v>300</v>
      </c>
      <c r="H344" s="7" t="s">
        <v>804</v>
      </c>
      <c r="I344" s="7" t="s">
        <v>805</v>
      </c>
      <c r="J344" s="7" t="s">
        <v>1740</v>
      </c>
      <c r="K344" s="7" t="s">
        <v>806</v>
      </c>
      <c r="L344" s="7">
        <v>48111</v>
      </c>
      <c r="M344" s="1">
        <v>41821</v>
      </c>
      <c r="N344" s="4">
        <v>7</v>
      </c>
      <c r="O344" s="2" t="s">
        <v>56</v>
      </c>
      <c r="P344" s="4">
        <v>2014</v>
      </c>
      <c r="Q344" t="str">
        <f>IF(Table1[[#This Row],[UnitsSold]]&gt;3000,"Large",IF(Table1[[#This Row],[UnitsSold]]&gt;1500,"Midium","Small"))</f>
        <v>Midium</v>
      </c>
    </row>
    <row r="345" spans="1:17" x14ac:dyDescent="0.3">
      <c r="A345" s="2" t="s">
        <v>4</v>
      </c>
      <c r="B345" s="2" t="s">
        <v>9</v>
      </c>
      <c r="C345" s="2" t="s">
        <v>101</v>
      </c>
      <c r="D345" s="2" t="s">
        <v>506</v>
      </c>
      <c r="E345" s="4">
        <v>609</v>
      </c>
      <c r="F345" s="7" t="s">
        <v>102</v>
      </c>
      <c r="G345" s="7">
        <v>20</v>
      </c>
      <c r="H345" s="7" t="s">
        <v>807</v>
      </c>
      <c r="I345" s="7" t="s">
        <v>808</v>
      </c>
      <c r="J345" s="7">
        <v>11327.4</v>
      </c>
      <c r="K345" s="7" t="s">
        <v>809</v>
      </c>
      <c r="L345" s="7">
        <v>5237.3999999999996</v>
      </c>
      <c r="M345" s="1">
        <v>41852</v>
      </c>
      <c r="N345" s="4">
        <v>8</v>
      </c>
      <c r="O345" s="2" t="s">
        <v>60</v>
      </c>
      <c r="P345" s="4">
        <v>2014</v>
      </c>
      <c r="Q345" t="str">
        <f>IF(Table1[[#This Row],[UnitsSold]]&gt;3000,"Large",IF(Table1[[#This Row],[UnitsSold]]&gt;1500,"Midium","Small"))</f>
        <v>Small</v>
      </c>
    </row>
    <row r="346" spans="1:17" x14ac:dyDescent="0.3">
      <c r="A346" s="2" t="s">
        <v>10</v>
      </c>
      <c r="B346" s="2" t="s">
        <v>6</v>
      </c>
      <c r="C346" s="2" t="s">
        <v>101</v>
      </c>
      <c r="D346" s="2" t="s">
        <v>506</v>
      </c>
      <c r="E346" s="4">
        <v>2087</v>
      </c>
      <c r="F346" s="7" t="s">
        <v>102</v>
      </c>
      <c r="G346" s="7">
        <v>125</v>
      </c>
      <c r="H346" s="7" t="s">
        <v>810</v>
      </c>
      <c r="I346" s="7" t="s">
        <v>811</v>
      </c>
      <c r="J346" s="7" t="s">
        <v>1741</v>
      </c>
      <c r="K346" s="7" t="s">
        <v>812</v>
      </c>
      <c r="L346" s="7">
        <v>7826.25</v>
      </c>
      <c r="M346" s="1">
        <v>41883</v>
      </c>
      <c r="N346" s="4">
        <v>9</v>
      </c>
      <c r="O346" s="2" t="s">
        <v>63</v>
      </c>
      <c r="P346" s="4">
        <v>2014</v>
      </c>
      <c r="Q346" t="str">
        <f>IF(Table1[[#This Row],[UnitsSold]]&gt;3000,"Large",IF(Table1[[#This Row],[UnitsSold]]&gt;1500,"Midium","Small"))</f>
        <v>Midium</v>
      </c>
    </row>
    <row r="347" spans="1:17" x14ac:dyDescent="0.3">
      <c r="A347" s="2" t="s">
        <v>4</v>
      </c>
      <c r="B347" s="2" t="s">
        <v>8</v>
      </c>
      <c r="C347" s="2" t="s">
        <v>101</v>
      </c>
      <c r="D347" s="2" t="s">
        <v>506</v>
      </c>
      <c r="E347" s="4">
        <v>1976</v>
      </c>
      <c r="F347" s="7" t="s">
        <v>102</v>
      </c>
      <c r="G347" s="7">
        <v>20</v>
      </c>
      <c r="H347" s="7" t="s">
        <v>773</v>
      </c>
      <c r="I347" s="7" t="s">
        <v>774</v>
      </c>
      <c r="J347" s="7">
        <v>36753.599999999999</v>
      </c>
      <c r="K347" s="7" t="s">
        <v>775</v>
      </c>
      <c r="L347" s="7">
        <v>16993.599999999999</v>
      </c>
      <c r="M347" s="1">
        <v>41913</v>
      </c>
      <c r="N347" s="4">
        <v>10</v>
      </c>
      <c r="O347" s="2" t="s">
        <v>66</v>
      </c>
      <c r="P347" s="4">
        <v>2014</v>
      </c>
      <c r="Q347" t="str">
        <f>IF(Table1[[#This Row],[UnitsSold]]&gt;3000,"Large",IF(Table1[[#This Row],[UnitsSold]]&gt;1500,"Midium","Small"))</f>
        <v>Midium</v>
      </c>
    </row>
    <row r="348" spans="1:17" x14ac:dyDescent="0.3">
      <c r="A348" s="2" t="s">
        <v>4</v>
      </c>
      <c r="B348" s="2" t="s">
        <v>67</v>
      </c>
      <c r="C348" s="2" t="s">
        <v>101</v>
      </c>
      <c r="D348" s="2" t="s">
        <v>506</v>
      </c>
      <c r="E348" s="4">
        <v>1421</v>
      </c>
      <c r="F348" s="7" t="s">
        <v>102</v>
      </c>
      <c r="G348" s="7">
        <v>20</v>
      </c>
      <c r="H348" s="7" t="s">
        <v>813</v>
      </c>
      <c r="I348" s="7" t="s">
        <v>814</v>
      </c>
      <c r="J348" s="7">
        <v>26430.6</v>
      </c>
      <c r="K348" s="7" t="s">
        <v>815</v>
      </c>
      <c r="L348" s="7">
        <v>12220.6</v>
      </c>
      <c r="M348" s="1">
        <v>41609</v>
      </c>
      <c r="N348" s="4">
        <v>12</v>
      </c>
      <c r="O348" s="2" t="s">
        <v>41</v>
      </c>
      <c r="P348" s="4">
        <v>2013</v>
      </c>
      <c r="Q348" t="str">
        <f>IF(Table1[[#This Row],[UnitsSold]]&gt;3000,"Large",IF(Table1[[#This Row],[UnitsSold]]&gt;1500,"Midium","Small"))</f>
        <v>Small</v>
      </c>
    </row>
    <row r="349" spans="1:17" x14ac:dyDescent="0.3">
      <c r="A349" s="2" t="s">
        <v>57</v>
      </c>
      <c r="B349" s="2" t="s">
        <v>67</v>
      </c>
      <c r="C349" s="2" t="s">
        <v>101</v>
      </c>
      <c r="D349" s="2" t="s">
        <v>506</v>
      </c>
      <c r="E349" s="4">
        <v>1372</v>
      </c>
      <c r="F349" s="7" t="s">
        <v>102</v>
      </c>
      <c r="G349" s="7">
        <v>300</v>
      </c>
      <c r="H349" s="7" t="s">
        <v>816</v>
      </c>
      <c r="I349" s="7" t="s">
        <v>817</v>
      </c>
      <c r="J349" s="7" t="s">
        <v>1742</v>
      </c>
      <c r="K349" s="7" t="s">
        <v>665</v>
      </c>
      <c r="L349" s="7">
        <v>39788</v>
      </c>
      <c r="M349" s="1">
        <v>41974</v>
      </c>
      <c r="N349" s="4">
        <v>12</v>
      </c>
      <c r="O349" s="2" t="s">
        <v>41</v>
      </c>
      <c r="P349" s="4">
        <v>2014</v>
      </c>
      <c r="Q349" t="str">
        <f>IF(Table1[[#This Row],[UnitsSold]]&gt;3000,"Large",IF(Table1[[#This Row],[UnitsSold]]&gt;1500,"Midium","Small"))</f>
        <v>Small</v>
      </c>
    </row>
    <row r="350" spans="1:17" x14ac:dyDescent="0.3">
      <c r="A350" s="2" t="s">
        <v>4</v>
      </c>
      <c r="B350" s="2" t="s">
        <v>6</v>
      </c>
      <c r="C350" s="2" t="s">
        <v>101</v>
      </c>
      <c r="D350" s="2" t="s">
        <v>506</v>
      </c>
      <c r="E350" s="4">
        <v>588</v>
      </c>
      <c r="F350" s="7" t="s">
        <v>102</v>
      </c>
      <c r="G350" s="7">
        <v>20</v>
      </c>
      <c r="H350" s="7" t="s">
        <v>819</v>
      </c>
      <c r="I350" s="7" t="s">
        <v>820</v>
      </c>
      <c r="J350" s="7">
        <v>10936.8</v>
      </c>
      <c r="K350" s="7" t="s">
        <v>821</v>
      </c>
      <c r="L350" s="7">
        <v>5056.8</v>
      </c>
      <c r="M350" s="1">
        <v>41609</v>
      </c>
      <c r="N350" s="4">
        <v>12</v>
      </c>
      <c r="O350" s="2" t="s">
        <v>41</v>
      </c>
      <c r="P350" s="4">
        <v>2013</v>
      </c>
      <c r="Q350" t="str">
        <f>IF(Table1[[#This Row],[UnitsSold]]&gt;3000,"Large",IF(Table1[[#This Row],[UnitsSold]]&gt;1500,"Midium","Small"))</f>
        <v>Small</v>
      </c>
    </row>
    <row r="351" spans="1:17" x14ac:dyDescent="0.3">
      <c r="A351" s="2" t="s">
        <v>47</v>
      </c>
      <c r="B351" s="2" t="s">
        <v>5</v>
      </c>
      <c r="C351" s="2" t="s">
        <v>111</v>
      </c>
      <c r="D351" s="2" t="s">
        <v>506</v>
      </c>
      <c r="E351" s="4">
        <v>3244.5</v>
      </c>
      <c r="F351" s="7" t="s">
        <v>112</v>
      </c>
      <c r="G351" s="7">
        <v>12</v>
      </c>
      <c r="H351" s="7" t="s">
        <v>822</v>
      </c>
      <c r="I351" s="7" t="s">
        <v>823</v>
      </c>
      <c r="J351" s="7">
        <v>36208.620000000003</v>
      </c>
      <c r="K351" s="7" t="s">
        <v>824</v>
      </c>
      <c r="L351" s="7">
        <v>26475.119999999999</v>
      </c>
      <c r="M351" s="1">
        <v>41640</v>
      </c>
      <c r="N351" s="4">
        <v>1</v>
      </c>
      <c r="O351" s="2" t="s">
        <v>29</v>
      </c>
      <c r="P351" s="4">
        <v>2014</v>
      </c>
      <c r="Q351" t="str">
        <f>IF(Table1[[#This Row],[UnitsSold]]&gt;3000,"Large",IF(Table1[[#This Row],[UnitsSold]]&gt;1500,"Midium","Small"))</f>
        <v>Large</v>
      </c>
    </row>
    <row r="352" spans="1:17" x14ac:dyDescent="0.3">
      <c r="A352" s="2" t="s">
        <v>57</v>
      </c>
      <c r="B352" s="2" t="s">
        <v>8</v>
      </c>
      <c r="C352" s="2" t="s">
        <v>111</v>
      </c>
      <c r="D352" s="2" t="s">
        <v>506</v>
      </c>
      <c r="E352" s="4">
        <v>959</v>
      </c>
      <c r="F352" s="7" t="s">
        <v>112</v>
      </c>
      <c r="G352" s="7">
        <v>300</v>
      </c>
      <c r="H352" s="7" t="s">
        <v>825</v>
      </c>
      <c r="I352" s="7" t="s">
        <v>322</v>
      </c>
      <c r="J352" s="7" t="s">
        <v>1743</v>
      </c>
      <c r="K352" s="7" t="s">
        <v>826</v>
      </c>
      <c r="L352" s="7">
        <v>27811</v>
      </c>
      <c r="M352" s="1">
        <v>41671</v>
      </c>
      <c r="N352" s="4">
        <v>2</v>
      </c>
      <c r="O352" s="2" t="s">
        <v>74</v>
      </c>
      <c r="P352" s="4">
        <v>2014</v>
      </c>
      <c r="Q352" t="str">
        <f>IF(Table1[[#This Row],[UnitsSold]]&gt;3000,"Large",IF(Table1[[#This Row],[UnitsSold]]&gt;1500,"Midium","Small"))</f>
        <v>Small</v>
      </c>
    </row>
    <row r="353" spans="1:17" x14ac:dyDescent="0.3">
      <c r="A353" s="2" t="s">
        <v>57</v>
      </c>
      <c r="B353" s="2" t="s">
        <v>9</v>
      </c>
      <c r="C353" s="2" t="s">
        <v>111</v>
      </c>
      <c r="D353" s="2" t="s">
        <v>506</v>
      </c>
      <c r="E353" s="4">
        <v>2747</v>
      </c>
      <c r="F353" s="7" t="s">
        <v>112</v>
      </c>
      <c r="G353" s="7">
        <v>300</v>
      </c>
      <c r="H353" s="7" t="s">
        <v>827</v>
      </c>
      <c r="I353" s="7" t="s">
        <v>828</v>
      </c>
      <c r="J353" s="7" t="s">
        <v>1744</v>
      </c>
      <c r="K353" s="7" t="s">
        <v>829</v>
      </c>
      <c r="L353" s="7">
        <v>79663</v>
      </c>
      <c r="M353" s="1">
        <v>41671</v>
      </c>
      <c r="N353" s="4">
        <v>2</v>
      </c>
      <c r="O353" s="2" t="s">
        <v>74</v>
      </c>
      <c r="P353" s="4">
        <v>2014</v>
      </c>
      <c r="Q353" t="str">
        <f>IF(Table1[[#This Row],[UnitsSold]]&gt;3000,"Large",IF(Table1[[#This Row],[UnitsSold]]&gt;1500,"Midium","Small"))</f>
        <v>Midium</v>
      </c>
    </row>
    <row r="354" spans="1:17" x14ac:dyDescent="0.3">
      <c r="A354" s="2" t="s">
        <v>10</v>
      </c>
      <c r="B354" s="2" t="s">
        <v>5</v>
      </c>
      <c r="C354" s="2" t="s">
        <v>122</v>
      </c>
      <c r="D354" s="2" t="s">
        <v>506</v>
      </c>
      <c r="E354" s="4">
        <v>1645</v>
      </c>
      <c r="F354" s="7" t="s">
        <v>123</v>
      </c>
      <c r="G354" s="7">
        <v>125</v>
      </c>
      <c r="H354" s="7" t="s">
        <v>830</v>
      </c>
      <c r="I354" s="7" t="s">
        <v>831</v>
      </c>
      <c r="J354" s="7" t="s">
        <v>1745</v>
      </c>
      <c r="K354" s="7" t="s">
        <v>832</v>
      </c>
      <c r="L354" s="7">
        <v>6168.75</v>
      </c>
      <c r="M354" s="1">
        <v>41760</v>
      </c>
      <c r="N354" s="4">
        <v>5</v>
      </c>
      <c r="O354" s="2" t="s">
        <v>145</v>
      </c>
      <c r="P354" s="4">
        <v>2014</v>
      </c>
      <c r="Q354" t="str">
        <f>IF(Table1[[#This Row],[UnitsSold]]&gt;3000,"Large",IF(Table1[[#This Row],[UnitsSold]]&gt;1500,"Midium","Small"))</f>
        <v>Midium</v>
      </c>
    </row>
    <row r="355" spans="1:17" x14ac:dyDescent="0.3">
      <c r="A355" s="2" t="s">
        <v>4</v>
      </c>
      <c r="B355" s="2" t="s">
        <v>8</v>
      </c>
      <c r="C355" s="2" t="s">
        <v>122</v>
      </c>
      <c r="D355" s="2" t="s">
        <v>506</v>
      </c>
      <c r="E355" s="4">
        <v>2876</v>
      </c>
      <c r="F355" s="7" t="s">
        <v>123</v>
      </c>
      <c r="G355" s="7">
        <v>350</v>
      </c>
      <c r="H355" s="7" t="s">
        <v>833</v>
      </c>
      <c r="I355" s="7" t="s">
        <v>834</v>
      </c>
      <c r="J355" s="7" t="s">
        <v>1746</v>
      </c>
      <c r="K355" s="7" t="s">
        <v>835</v>
      </c>
      <c r="L355" s="7" t="s">
        <v>1888</v>
      </c>
      <c r="M355" s="1">
        <v>41883</v>
      </c>
      <c r="N355" s="4">
        <v>9</v>
      </c>
      <c r="O355" s="2" t="s">
        <v>63</v>
      </c>
      <c r="P355" s="4">
        <v>2014</v>
      </c>
      <c r="Q355" t="str">
        <f>IF(Table1[[#This Row],[UnitsSold]]&gt;3000,"Large",IF(Table1[[#This Row],[UnitsSold]]&gt;1500,"Midium","Small"))</f>
        <v>Midium</v>
      </c>
    </row>
    <row r="356" spans="1:17" x14ac:dyDescent="0.3">
      <c r="A356" s="2" t="s">
        <v>10</v>
      </c>
      <c r="B356" s="2" t="s">
        <v>6</v>
      </c>
      <c r="C356" s="2" t="s">
        <v>122</v>
      </c>
      <c r="D356" s="2" t="s">
        <v>506</v>
      </c>
      <c r="E356" s="4">
        <v>994</v>
      </c>
      <c r="F356" s="7" t="s">
        <v>123</v>
      </c>
      <c r="G356" s="7">
        <v>125</v>
      </c>
      <c r="H356" s="7" t="s">
        <v>836</v>
      </c>
      <c r="I356" s="7" t="s">
        <v>837</v>
      </c>
      <c r="J356" s="7" t="s">
        <v>1747</v>
      </c>
      <c r="K356" s="7" t="s">
        <v>838</v>
      </c>
      <c r="L356" s="7">
        <v>3727.5</v>
      </c>
      <c r="M356" s="1">
        <v>41518</v>
      </c>
      <c r="N356" s="4">
        <v>9</v>
      </c>
      <c r="O356" s="2" t="s">
        <v>63</v>
      </c>
      <c r="P356" s="4">
        <v>2013</v>
      </c>
      <c r="Q356" t="str">
        <f>IF(Table1[[#This Row],[UnitsSold]]&gt;3000,"Large",IF(Table1[[#This Row],[UnitsSold]]&gt;1500,"Midium","Small"))</f>
        <v>Small</v>
      </c>
    </row>
    <row r="357" spans="1:17" x14ac:dyDescent="0.3">
      <c r="A357" s="2" t="s">
        <v>4</v>
      </c>
      <c r="B357" s="2" t="s">
        <v>5</v>
      </c>
      <c r="C357" s="2" t="s">
        <v>122</v>
      </c>
      <c r="D357" s="2" t="s">
        <v>506</v>
      </c>
      <c r="E357" s="4">
        <v>1118</v>
      </c>
      <c r="F357" s="7" t="s">
        <v>123</v>
      </c>
      <c r="G357" s="7">
        <v>20</v>
      </c>
      <c r="H357" s="7" t="s">
        <v>839</v>
      </c>
      <c r="I357" s="7" t="s">
        <v>840</v>
      </c>
      <c r="J357" s="7">
        <v>20794.8</v>
      </c>
      <c r="K357" s="7" t="s">
        <v>841</v>
      </c>
      <c r="L357" s="7">
        <v>9614.7999999999993</v>
      </c>
      <c r="M357" s="1">
        <v>41944</v>
      </c>
      <c r="N357" s="4">
        <v>11</v>
      </c>
      <c r="O357" s="2" t="s">
        <v>94</v>
      </c>
      <c r="P357" s="4">
        <v>2014</v>
      </c>
      <c r="Q357" t="str">
        <f>IF(Table1[[#This Row],[UnitsSold]]&gt;3000,"Large",IF(Table1[[#This Row],[UnitsSold]]&gt;1500,"Midium","Small"))</f>
        <v>Small</v>
      </c>
    </row>
    <row r="358" spans="1:17" x14ac:dyDescent="0.3">
      <c r="A358" s="2" t="s">
        <v>57</v>
      </c>
      <c r="B358" s="2" t="s">
        <v>67</v>
      </c>
      <c r="C358" s="2" t="s">
        <v>122</v>
      </c>
      <c r="D358" s="2" t="s">
        <v>506</v>
      </c>
      <c r="E358" s="4">
        <v>1372</v>
      </c>
      <c r="F358" s="7" t="s">
        <v>123</v>
      </c>
      <c r="G358" s="7">
        <v>300</v>
      </c>
      <c r="H358" s="7" t="s">
        <v>816</v>
      </c>
      <c r="I358" s="7" t="s">
        <v>817</v>
      </c>
      <c r="J358" s="7" t="s">
        <v>1742</v>
      </c>
      <c r="K358" s="7" t="s">
        <v>665</v>
      </c>
      <c r="L358" s="7">
        <v>39788</v>
      </c>
      <c r="M358" s="1">
        <v>41974</v>
      </c>
      <c r="N358" s="4">
        <v>12</v>
      </c>
      <c r="O358" s="2" t="s">
        <v>41</v>
      </c>
      <c r="P358" s="4">
        <v>2014</v>
      </c>
      <c r="Q358" t="str">
        <f>IF(Table1[[#This Row],[UnitsSold]]&gt;3000,"Large",IF(Table1[[#This Row],[UnitsSold]]&gt;1500,"Midium","Small"))</f>
        <v>Small</v>
      </c>
    </row>
    <row r="359" spans="1:17" x14ac:dyDescent="0.3">
      <c r="A359" s="2" t="s">
        <v>4</v>
      </c>
      <c r="B359" s="2" t="s">
        <v>5</v>
      </c>
      <c r="C359" s="2" t="s">
        <v>42</v>
      </c>
      <c r="D359" s="2" t="s">
        <v>506</v>
      </c>
      <c r="E359" s="4">
        <v>488</v>
      </c>
      <c r="F359" s="7" t="s">
        <v>43</v>
      </c>
      <c r="G359" s="7">
        <v>7</v>
      </c>
      <c r="H359" s="7" t="s">
        <v>842</v>
      </c>
      <c r="I359" s="7" t="s">
        <v>843</v>
      </c>
      <c r="J359" s="7">
        <v>3142.72</v>
      </c>
      <c r="K359" s="7" t="s">
        <v>844</v>
      </c>
      <c r="L359" s="7">
        <v>702.72</v>
      </c>
      <c r="M359" s="1">
        <v>41671</v>
      </c>
      <c r="N359" s="4">
        <v>2</v>
      </c>
      <c r="O359" s="2" t="s">
        <v>74</v>
      </c>
      <c r="P359" s="4">
        <v>2014</v>
      </c>
      <c r="Q359" t="str">
        <f>IF(Table1[[#This Row],[UnitsSold]]&gt;3000,"Large",IF(Table1[[#This Row],[UnitsSold]]&gt;1500,"Midium","Small"))</f>
        <v>Small</v>
      </c>
    </row>
    <row r="360" spans="1:17" x14ac:dyDescent="0.3">
      <c r="A360" s="2" t="s">
        <v>4</v>
      </c>
      <c r="B360" s="2" t="s">
        <v>67</v>
      </c>
      <c r="C360" s="2" t="s">
        <v>42</v>
      </c>
      <c r="D360" s="2" t="s">
        <v>506</v>
      </c>
      <c r="E360" s="4">
        <v>1282</v>
      </c>
      <c r="F360" s="7" t="s">
        <v>43</v>
      </c>
      <c r="G360" s="7">
        <v>20</v>
      </c>
      <c r="H360" s="7" t="s">
        <v>845</v>
      </c>
      <c r="I360" s="7" t="s">
        <v>846</v>
      </c>
      <c r="J360" s="7">
        <v>23588.799999999999</v>
      </c>
      <c r="K360" s="7" t="s">
        <v>847</v>
      </c>
      <c r="L360" s="7">
        <v>10768.8</v>
      </c>
      <c r="M360" s="1">
        <v>41791</v>
      </c>
      <c r="N360" s="4">
        <v>6</v>
      </c>
      <c r="O360" s="2" t="s">
        <v>34</v>
      </c>
      <c r="P360" s="4">
        <v>2014</v>
      </c>
      <c r="Q360" t="str">
        <f>IF(Table1[[#This Row],[UnitsSold]]&gt;3000,"Large",IF(Table1[[#This Row],[UnitsSold]]&gt;1500,"Midium","Small"))</f>
        <v>Small</v>
      </c>
    </row>
    <row r="361" spans="1:17" x14ac:dyDescent="0.3">
      <c r="A361" s="2" t="s">
        <v>4</v>
      </c>
      <c r="B361" s="2" t="s">
        <v>5</v>
      </c>
      <c r="C361" s="2" t="s">
        <v>70</v>
      </c>
      <c r="D361" s="2" t="s">
        <v>506</v>
      </c>
      <c r="E361" s="4">
        <v>257</v>
      </c>
      <c r="F361" s="7" t="s">
        <v>71</v>
      </c>
      <c r="G361" s="7">
        <v>7</v>
      </c>
      <c r="H361" s="7" t="s">
        <v>848</v>
      </c>
      <c r="I361" s="7" t="s">
        <v>849</v>
      </c>
      <c r="J361" s="7">
        <v>1655.08</v>
      </c>
      <c r="K361" s="7" t="s">
        <v>850</v>
      </c>
      <c r="L361" s="7">
        <v>370.08</v>
      </c>
      <c r="M361" s="1">
        <v>41760</v>
      </c>
      <c r="N361" s="4">
        <v>5</v>
      </c>
      <c r="O361" s="2" t="s">
        <v>145</v>
      </c>
      <c r="P361" s="4">
        <v>2014</v>
      </c>
      <c r="Q361" t="str">
        <f>IF(Table1[[#This Row],[UnitsSold]]&gt;3000,"Large",IF(Table1[[#This Row],[UnitsSold]]&gt;1500,"Midium","Small"))</f>
        <v>Small</v>
      </c>
    </row>
    <row r="362" spans="1:17" x14ac:dyDescent="0.3">
      <c r="A362" s="2" t="s">
        <v>4</v>
      </c>
      <c r="B362" s="2" t="s">
        <v>67</v>
      </c>
      <c r="C362" s="2" t="s">
        <v>122</v>
      </c>
      <c r="D362" s="2" t="s">
        <v>506</v>
      </c>
      <c r="E362" s="4">
        <v>1282</v>
      </c>
      <c r="F362" s="7" t="s">
        <v>123</v>
      </c>
      <c r="G362" s="7">
        <v>20</v>
      </c>
      <c r="H362" s="7" t="s">
        <v>845</v>
      </c>
      <c r="I362" s="7" t="s">
        <v>846</v>
      </c>
      <c r="J362" s="7">
        <v>23588.799999999999</v>
      </c>
      <c r="K362" s="7" t="s">
        <v>847</v>
      </c>
      <c r="L362" s="7">
        <v>10768.8</v>
      </c>
      <c r="M362" s="1">
        <v>41791</v>
      </c>
      <c r="N362" s="4">
        <v>6</v>
      </c>
      <c r="O362" s="2" t="s">
        <v>34</v>
      </c>
      <c r="P362" s="4">
        <v>2014</v>
      </c>
      <c r="Q362" t="str">
        <f>IF(Table1[[#This Row],[UnitsSold]]&gt;3000,"Large",IF(Table1[[#This Row],[UnitsSold]]&gt;1500,"Midium","Small"))</f>
        <v>Small</v>
      </c>
    </row>
    <row r="363" spans="1:17" x14ac:dyDescent="0.3">
      <c r="A363" s="2" t="s">
        <v>10</v>
      </c>
      <c r="B363" s="2" t="s">
        <v>9</v>
      </c>
      <c r="C363" s="2" t="s">
        <v>23</v>
      </c>
      <c r="D363" s="2" t="s">
        <v>506</v>
      </c>
      <c r="E363" s="4">
        <v>1540</v>
      </c>
      <c r="F363" s="7" t="s">
        <v>25</v>
      </c>
      <c r="G363" s="7">
        <v>125</v>
      </c>
      <c r="H363" s="7" t="s">
        <v>851</v>
      </c>
      <c r="I363" s="7" t="s">
        <v>852</v>
      </c>
      <c r="J363" s="7" t="s">
        <v>1748</v>
      </c>
      <c r="K363" s="7" t="s">
        <v>853</v>
      </c>
      <c r="L363" s="7">
        <v>7700</v>
      </c>
      <c r="M363" s="1">
        <v>41852</v>
      </c>
      <c r="N363" s="4">
        <v>8</v>
      </c>
      <c r="O363" s="2" t="s">
        <v>60</v>
      </c>
      <c r="P363" s="4">
        <v>2014</v>
      </c>
      <c r="Q363" t="str">
        <f>IF(Table1[[#This Row],[UnitsSold]]&gt;3000,"Large",IF(Table1[[#This Row],[UnitsSold]]&gt;1500,"Midium","Small"))</f>
        <v>Midium</v>
      </c>
    </row>
    <row r="364" spans="1:17" x14ac:dyDescent="0.3">
      <c r="A364" s="2" t="s">
        <v>7</v>
      </c>
      <c r="B364" s="2" t="s">
        <v>8</v>
      </c>
      <c r="C364" s="2" t="s">
        <v>23</v>
      </c>
      <c r="D364" s="2" t="s">
        <v>506</v>
      </c>
      <c r="E364" s="4">
        <v>490</v>
      </c>
      <c r="F364" s="7" t="s">
        <v>25</v>
      </c>
      <c r="G364" s="7">
        <v>15</v>
      </c>
      <c r="H364" s="7" t="s">
        <v>854</v>
      </c>
      <c r="I364" s="7" t="s">
        <v>818</v>
      </c>
      <c r="J364" s="7">
        <v>6762</v>
      </c>
      <c r="K364" s="7" t="s">
        <v>855</v>
      </c>
      <c r="L364" s="7">
        <v>1862</v>
      </c>
      <c r="M364" s="1">
        <v>41944</v>
      </c>
      <c r="N364" s="4">
        <v>11</v>
      </c>
      <c r="O364" s="2" t="s">
        <v>94</v>
      </c>
      <c r="P364" s="4">
        <v>2014</v>
      </c>
      <c r="Q364" t="str">
        <f>IF(Table1[[#This Row],[UnitsSold]]&gt;3000,"Large",IF(Table1[[#This Row],[UnitsSold]]&gt;1500,"Midium","Small"))</f>
        <v>Small</v>
      </c>
    </row>
    <row r="365" spans="1:17" x14ac:dyDescent="0.3">
      <c r="A365" s="2" t="s">
        <v>4</v>
      </c>
      <c r="B365" s="2" t="s">
        <v>9</v>
      </c>
      <c r="C365" s="2" t="s">
        <v>23</v>
      </c>
      <c r="D365" s="2" t="s">
        <v>506</v>
      </c>
      <c r="E365" s="4">
        <v>1362</v>
      </c>
      <c r="F365" s="7" t="s">
        <v>25</v>
      </c>
      <c r="G365" s="7">
        <v>350</v>
      </c>
      <c r="H365" s="7" t="s">
        <v>856</v>
      </c>
      <c r="I365" s="7" t="s">
        <v>857</v>
      </c>
      <c r="J365" s="7" t="s">
        <v>1749</v>
      </c>
      <c r="K365" s="7" t="s">
        <v>858</v>
      </c>
      <c r="L365" s="7">
        <v>84444</v>
      </c>
      <c r="M365" s="1">
        <v>41974</v>
      </c>
      <c r="N365" s="4">
        <v>12</v>
      </c>
      <c r="O365" s="2" t="s">
        <v>41</v>
      </c>
      <c r="P365" s="4">
        <v>2014</v>
      </c>
      <c r="Q365" t="str">
        <f>IF(Table1[[#This Row],[UnitsSold]]&gt;3000,"Large",IF(Table1[[#This Row],[UnitsSold]]&gt;1500,"Midium","Small"))</f>
        <v>Small</v>
      </c>
    </row>
    <row r="366" spans="1:17" x14ac:dyDescent="0.3">
      <c r="A366" s="2" t="s">
        <v>7</v>
      </c>
      <c r="B366" s="2" t="s">
        <v>8</v>
      </c>
      <c r="C366" s="2" t="s">
        <v>42</v>
      </c>
      <c r="D366" s="2" t="s">
        <v>506</v>
      </c>
      <c r="E366" s="4">
        <v>2501</v>
      </c>
      <c r="F366" s="7" t="s">
        <v>43</v>
      </c>
      <c r="G366" s="7">
        <v>15</v>
      </c>
      <c r="H366" s="7" t="s">
        <v>859</v>
      </c>
      <c r="I366" s="7" t="s">
        <v>860</v>
      </c>
      <c r="J366" s="7">
        <v>34513.800000000003</v>
      </c>
      <c r="K366" s="7" t="s">
        <v>861</v>
      </c>
      <c r="L366" s="7">
        <v>9503.7999999999993</v>
      </c>
      <c r="M366" s="1">
        <v>41699</v>
      </c>
      <c r="N366" s="4">
        <v>3</v>
      </c>
      <c r="O366" s="2" t="s">
        <v>46</v>
      </c>
      <c r="P366" s="4">
        <v>2014</v>
      </c>
      <c r="Q366" t="str">
        <f>IF(Table1[[#This Row],[UnitsSold]]&gt;3000,"Large",IF(Table1[[#This Row],[UnitsSold]]&gt;1500,"Midium","Small"))</f>
        <v>Midium</v>
      </c>
    </row>
    <row r="367" spans="1:17" x14ac:dyDescent="0.3">
      <c r="A367" s="2" t="s">
        <v>4</v>
      </c>
      <c r="B367" s="2" t="s">
        <v>5</v>
      </c>
      <c r="C367" s="2" t="s">
        <v>42</v>
      </c>
      <c r="D367" s="2" t="s">
        <v>506</v>
      </c>
      <c r="E367" s="4">
        <v>708</v>
      </c>
      <c r="F367" s="7" t="s">
        <v>43</v>
      </c>
      <c r="G367" s="7">
        <v>20</v>
      </c>
      <c r="H367" s="7" t="s">
        <v>862</v>
      </c>
      <c r="I367" s="7" t="s">
        <v>863</v>
      </c>
      <c r="J367" s="7">
        <v>13027.2</v>
      </c>
      <c r="K367" s="7" t="s">
        <v>864</v>
      </c>
      <c r="L367" s="7">
        <v>5947.2</v>
      </c>
      <c r="M367" s="1">
        <v>41791</v>
      </c>
      <c r="N367" s="4">
        <v>6</v>
      </c>
      <c r="O367" s="2" t="s">
        <v>34</v>
      </c>
      <c r="P367" s="4">
        <v>2014</v>
      </c>
      <c r="Q367" t="str">
        <f>IF(Table1[[#This Row],[UnitsSold]]&gt;3000,"Large",IF(Table1[[#This Row],[UnitsSold]]&gt;1500,"Midium","Small"))</f>
        <v>Small</v>
      </c>
    </row>
    <row r="368" spans="1:17" x14ac:dyDescent="0.3">
      <c r="A368" s="2" t="s">
        <v>4</v>
      </c>
      <c r="B368" s="2" t="s">
        <v>6</v>
      </c>
      <c r="C368" s="2" t="s">
        <v>42</v>
      </c>
      <c r="D368" s="2" t="s">
        <v>506</v>
      </c>
      <c r="E368" s="4">
        <v>645</v>
      </c>
      <c r="F368" s="7" t="s">
        <v>43</v>
      </c>
      <c r="G368" s="7">
        <v>20</v>
      </c>
      <c r="H368" s="7" t="s">
        <v>865</v>
      </c>
      <c r="I368" s="7" t="s">
        <v>866</v>
      </c>
      <c r="J368" s="7">
        <v>11868</v>
      </c>
      <c r="K368" s="7" t="s">
        <v>867</v>
      </c>
      <c r="L368" s="7">
        <v>5418</v>
      </c>
      <c r="M368" s="1">
        <v>41821</v>
      </c>
      <c r="N368" s="4">
        <v>7</v>
      </c>
      <c r="O368" s="2" t="s">
        <v>56</v>
      </c>
      <c r="P368" s="4">
        <v>2014</v>
      </c>
      <c r="Q368" t="str">
        <f>IF(Table1[[#This Row],[UnitsSold]]&gt;3000,"Large",IF(Table1[[#This Row],[UnitsSold]]&gt;1500,"Midium","Small"))</f>
        <v>Small</v>
      </c>
    </row>
    <row r="369" spans="1:17" x14ac:dyDescent="0.3">
      <c r="A369" s="2" t="s">
        <v>57</v>
      </c>
      <c r="B369" s="2" t="s">
        <v>8</v>
      </c>
      <c r="C369" s="2" t="s">
        <v>42</v>
      </c>
      <c r="D369" s="2" t="s">
        <v>506</v>
      </c>
      <c r="E369" s="4">
        <v>1562</v>
      </c>
      <c r="F369" s="7" t="s">
        <v>43</v>
      </c>
      <c r="G369" s="7">
        <v>300</v>
      </c>
      <c r="H369" s="7" t="s">
        <v>869</v>
      </c>
      <c r="I369" s="7" t="s">
        <v>870</v>
      </c>
      <c r="J369" s="7" t="s">
        <v>1750</v>
      </c>
      <c r="K369" s="7" t="s">
        <v>871</v>
      </c>
      <c r="L369" s="7">
        <v>40612</v>
      </c>
      <c r="M369" s="1">
        <v>41852</v>
      </c>
      <c r="N369" s="4">
        <v>8</v>
      </c>
      <c r="O369" s="2" t="s">
        <v>60</v>
      </c>
      <c r="P369" s="4">
        <v>2014</v>
      </c>
      <c r="Q369" t="str">
        <f>IF(Table1[[#This Row],[UnitsSold]]&gt;3000,"Large",IF(Table1[[#This Row],[UnitsSold]]&gt;1500,"Midium","Small"))</f>
        <v>Midium</v>
      </c>
    </row>
    <row r="370" spans="1:17" x14ac:dyDescent="0.3">
      <c r="A370" s="2" t="s">
        <v>57</v>
      </c>
      <c r="B370" s="2" t="s">
        <v>5</v>
      </c>
      <c r="C370" s="2" t="s">
        <v>42</v>
      </c>
      <c r="D370" s="2" t="s">
        <v>506</v>
      </c>
      <c r="E370" s="4">
        <v>1283</v>
      </c>
      <c r="F370" s="7" t="s">
        <v>43</v>
      </c>
      <c r="G370" s="7">
        <v>300</v>
      </c>
      <c r="H370" s="7" t="s">
        <v>872</v>
      </c>
      <c r="I370" s="7" t="s">
        <v>873</v>
      </c>
      <c r="J370" s="7" t="s">
        <v>1751</v>
      </c>
      <c r="K370" s="7" t="s">
        <v>874</v>
      </c>
      <c r="L370" s="7">
        <v>33358</v>
      </c>
      <c r="M370" s="1">
        <v>41518</v>
      </c>
      <c r="N370" s="4">
        <v>9</v>
      </c>
      <c r="O370" s="2" t="s">
        <v>63</v>
      </c>
      <c r="P370" s="4">
        <v>2013</v>
      </c>
      <c r="Q370" t="str">
        <f>IF(Table1[[#This Row],[UnitsSold]]&gt;3000,"Large",IF(Table1[[#This Row],[UnitsSold]]&gt;1500,"Midium","Small"))</f>
        <v>Small</v>
      </c>
    </row>
    <row r="371" spans="1:17" x14ac:dyDescent="0.3">
      <c r="A371" s="2" t="s">
        <v>7</v>
      </c>
      <c r="B371" s="2" t="s">
        <v>6</v>
      </c>
      <c r="C371" s="2" t="s">
        <v>42</v>
      </c>
      <c r="D371" s="2" t="s">
        <v>506</v>
      </c>
      <c r="E371" s="4">
        <v>711</v>
      </c>
      <c r="F371" s="7" t="s">
        <v>43</v>
      </c>
      <c r="G371" s="7">
        <v>15</v>
      </c>
      <c r="H371" s="7" t="s">
        <v>875</v>
      </c>
      <c r="I371" s="7" t="s">
        <v>876</v>
      </c>
      <c r="J371" s="7">
        <v>9811.7999999999993</v>
      </c>
      <c r="K371" s="7" t="s">
        <v>877</v>
      </c>
      <c r="L371" s="7">
        <v>2701.8</v>
      </c>
      <c r="M371" s="1">
        <v>41974</v>
      </c>
      <c r="N371" s="4">
        <v>12</v>
      </c>
      <c r="O371" s="2" t="s">
        <v>41</v>
      </c>
      <c r="P371" s="4">
        <v>2014</v>
      </c>
      <c r="Q371" t="str">
        <f>IF(Table1[[#This Row],[UnitsSold]]&gt;3000,"Large",IF(Table1[[#This Row],[UnitsSold]]&gt;1500,"Midium","Small"))</f>
        <v>Small</v>
      </c>
    </row>
    <row r="372" spans="1:17" x14ac:dyDescent="0.3">
      <c r="A372" s="2" t="s">
        <v>10</v>
      </c>
      <c r="B372" s="2" t="s">
        <v>9</v>
      </c>
      <c r="C372" s="2" t="s">
        <v>70</v>
      </c>
      <c r="D372" s="2" t="s">
        <v>506</v>
      </c>
      <c r="E372" s="4">
        <v>1114</v>
      </c>
      <c r="F372" s="7" t="s">
        <v>71</v>
      </c>
      <c r="G372" s="7">
        <v>125</v>
      </c>
      <c r="H372" s="7" t="s">
        <v>878</v>
      </c>
      <c r="I372" s="7" t="s">
        <v>879</v>
      </c>
      <c r="J372" s="7" t="s">
        <v>1752</v>
      </c>
      <c r="K372" s="7" t="s">
        <v>880</v>
      </c>
      <c r="L372" s="7">
        <v>5570</v>
      </c>
      <c r="M372" s="1">
        <v>41699</v>
      </c>
      <c r="N372" s="4">
        <v>3</v>
      </c>
      <c r="O372" s="2" t="s">
        <v>46</v>
      </c>
      <c r="P372" s="4">
        <v>2014</v>
      </c>
      <c r="Q372" t="str">
        <f>IF(Table1[[#This Row],[UnitsSold]]&gt;3000,"Large",IF(Table1[[#This Row],[UnitsSold]]&gt;1500,"Midium","Small"))</f>
        <v>Small</v>
      </c>
    </row>
    <row r="373" spans="1:17" x14ac:dyDescent="0.3">
      <c r="A373" s="2" t="s">
        <v>4</v>
      </c>
      <c r="B373" s="2" t="s">
        <v>6</v>
      </c>
      <c r="C373" s="2" t="s">
        <v>70</v>
      </c>
      <c r="D373" s="2" t="s">
        <v>506</v>
      </c>
      <c r="E373" s="4">
        <v>1259</v>
      </c>
      <c r="F373" s="7" t="s">
        <v>71</v>
      </c>
      <c r="G373" s="7">
        <v>7</v>
      </c>
      <c r="H373" s="7" t="s">
        <v>881</v>
      </c>
      <c r="I373" s="7" t="s">
        <v>882</v>
      </c>
      <c r="J373" s="7">
        <v>8107.96</v>
      </c>
      <c r="K373" s="7" t="s">
        <v>883</v>
      </c>
      <c r="L373" s="7">
        <v>1812.96</v>
      </c>
      <c r="M373" s="1">
        <v>41730</v>
      </c>
      <c r="N373" s="4">
        <v>4</v>
      </c>
      <c r="O373" s="2" t="s">
        <v>117</v>
      </c>
      <c r="P373" s="4">
        <v>2014</v>
      </c>
      <c r="Q373" t="str">
        <f>IF(Table1[[#This Row],[UnitsSold]]&gt;3000,"Large",IF(Table1[[#This Row],[UnitsSold]]&gt;1500,"Midium","Small"))</f>
        <v>Small</v>
      </c>
    </row>
    <row r="374" spans="1:17" x14ac:dyDescent="0.3">
      <c r="A374" s="2" t="s">
        <v>4</v>
      </c>
      <c r="B374" s="2" t="s">
        <v>6</v>
      </c>
      <c r="C374" s="2" t="s">
        <v>70</v>
      </c>
      <c r="D374" s="2" t="s">
        <v>506</v>
      </c>
      <c r="E374" s="4">
        <v>1095</v>
      </c>
      <c r="F374" s="7" t="s">
        <v>71</v>
      </c>
      <c r="G374" s="7">
        <v>7</v>
      </c>
      <c r="H374" s="7" t="s">
        <v>884</v>
      </c>
      <c r="I374" s="7" t="s">
        <v>885</v>
      </c>
      <c r="J374" s="7">
        <v>7051.8</v>
      </c>
      <c r="K374" s="7" t="s">
        <v>886</v>
      </c>
      <c r="L374" s="7">
        <v>1576.8</v>
      </c>
      <c r="M374" s="1">
        <v>41760</v>
      </c>
      <c r="N374" s="4">
        <v>5</v>
      </c>
      <c r="O374" s="2" t="s">
        <v>145</v>
      </c>
      <c r="P374" s="4">
        <v>2014</v>
      </c>
      <c r="Q374" t="str">
        <f>IF(Table1[[#This Row],[UnitsSold]]&gt;3000,"Large",IF(Table1[[#This Row],[UnitsSold]]&gt;1500,"Midium","Small"))</f>
        <v>Small</v>
      </c>
    </row>
    <row r="375" spans="1:17" x14ac:dyDescent="0.3">
      <c r="A375" s="2" t="s">
        <v>4</v>
      </c>
      <c r="B375" s="2" t="s">
        <v>6</v>
      </c>
      <c r="C375" s="2" t="s">
        <v>70</v>
      </c>
      <c r="D375" s="2" t="s">
        <v>506</v>
      </c>
      <c r="E375" s="4">
        <v>1366</v>
      </c>
      <c r="F375" s="7" t="s">
        <v>71</v>
      </c>
      <c r="G375" s="7">
        <v>20</v>
      </c>
      <c r="H375" s="7" t="s">
        <v>887</v>
      </c>
      <c r="I375" s="7" t="s">
        <v>888</v>
      </c>
      <c r="J375" s="7">
        <v>25134.400000000001</v>
      </c>
      <c r="K375" s="7" t="s">
        <v>889</v>
      </c>
      <c r="L375" s="7">
        <v>11474.4</v>
      </c>
      <c r="M375" s="1">
        <v>41791</v>
      </c>
      <c r="N375" s="4">
        <v>6</v>
      </c>
      <c r="O375" s="2" t="s">
        <v>34</v>
      </c>
      <c r="P375" s="4">
        <v>2014</v>
      </c>
      <c r="Q375" t="str">
        <f>IF(Table1[[#This Row],[UnitsSold]]&gt;3000,"Large",IF(Table1[[#This Row],[UnitsSold]]&gt;1500,"Midium","Small"))</f>
        <v>Small</v>
      </c>
    </row>
    <row r="376" spans="1:17" x14ac:dyDescent="0.3">
      <c r="A376" s="2" t="s">
        <v>57</v>
      </c>
      <c r="B376" s="2" t="s">
        <v>9</v>
      </c>
      <c r="C376" s="2" t="s">
        <v>70</v>
      </c>
      <c r="D376" s="2" t="s">
        <v>506</v>
      </c>
      <c r="E376" s="4">
        <v>2460</v>
      </c>
      <c r="F376" s="7" t="s">
        <v>71</v>
      </c>
      <c r="G376" s="7">
        <v>300</v>
      </c>
      <c r="H376" s="7" t="s">
        <v>890</v>
      </c>
      <c r="I376" s="7" t="s">
        <v>891</v>
      </c>
      <c r="J376" s="7" t="s">
        <v>1753</v>
      </c>
      <c r="K376" s="7" t="s">
        <v>892</v>
      </c>
      <c r="L376" s="7">
        <v>63960</v>
      </c>
      <c r="M376" s="1">
        <v>41791</v>
      </c>
      <c r="N376" s="4">
        <v>6</v>
      </c>
      <c r="O376" s="2" t="s">
        <v>34</v>
      </c>
      <c r="P376" s="4">
        <v>2014</v>
      </c>
      <c r="Q376" t="str">
        <f>IF(Table1[[#This Row],[UnitsSold]]&gt;3000,"Large",IF(Table1[[#This Row],[UnitsSold]]&gt;1500,"Midium","Small"))</f>
        <v>Midium</v>
      </c>
    </row>
    <row r="377" spans="1:17" x14ac:dyDescent="0.3">
      <c r="A377" s="2" t="s">
        <v>4</v>
      </c>
      <c r="B377" s="2" t="s">
        <v>67</v>
      </c>
      <c r="C377" s="2" t="s">
        <v>70</v>
      </c>
      <c r="D377" s="2" t="s">
        <v>506</v>
      </c>
      <c r="E377" s="4">
        <v>678</v>
      </c>
      <c r="F377" s="7" t="s">
        <v>71</v>
      </c>
      <c r="G377" s="7">
        <v>7</v>
      </c>
      <c r="H377" s="7" t="s">
        <v>893</v>
      </c>
      <c r="I377" s="7" t="s">
        <v>894</v>
      </c>
      <c r="J377" s="7">
        <v>4366.32</v>
      </c>
      <c r="K377" s="7" t="s">
        <v>895</v>
      </c>
      <c r="L377" s="7">
        <v>976.32</v>
      </c>
      <c r="M377" s="1">
        <v>41852</v>
      </c>
      <c r="N377" s="4">
        <v>8</v>
      </c>
      <c r="O377" s="2" t="s">
        <v>60</v>
      </c>
      <c r="P377" s="4">
        <v>2014</v>
      </c>
      <c r="Q377" t="str">
        <f>IF(Table1[[#This Row],[UnitsSold]]&gt;3000,"Large",IF(Table1[[#This Row],[UnitsSold]]&gt;1500,"Midium","Small"))</f>
        <v>Small</v>
      </c>
    </row>
    <row r="378" spans="1:17" x14ac:dyDescent="0.3">
      <c r="A378" s="2" t="s">
        <v>4</v>
      </c>
      <c r="B378" s="2" t="s">
        <v>6</v>
      </c>
      <c r="C378" s="2" t="s">
        <v>70</v>
      </c>
      <c r="D378" s="2" t="s">
        <v>506</v>
      </c>
      <c r="E378" s="4">
        <v>1598</v>
      </c>
      <c r="F378" s="7" t="s">
        <v>71</v>
      </c>
      <c r="G378" s="7">
        <v>7</v>
      </c>
      <c r="H378" s="7" t="s">
        <v>896</v>
      </c>
      <c r="I378" s="7" t="s">
        <v>897</v>
      </c>
      <c r="J378" s="7">
        <v>10291.120000000001</v>
      </c>
      <c r="K378" s="7" t="s">
        <v>898</v>
      </c>
      <c r="L378" s="7">
        <v>2301.12</v>
      </c>
      <c r="M378" s="1">
        <v>41852</v>
      </c>
      <c r="N378" s="4">
        <v>8</v>
      </c>
      <c r="O378" s="2" t="s">
        <v>60</v>
      </c>
      <c r="P378" s="4">
        <v>2014</v>
      </c>
      <c r="Q378" t="str">
        <f>IF(Table1[[#This Row],[UnitsSold]]&gt;3000,"Large",IF(Table1[[#This Row],[UnitsSold]]&gt;1500,"Midium","Small"))</f>
        <v>Midium</v>
      </c>
    </row>
    <row r="379" spans="1:17" x14ac:dyDescent="0.3">
      <c r="A379" s="2" t="s">
        <v>4</v>
      </c>
      <c r="B379" s="2" t="s">
        <v>6</v>
      </c>
      <c r="C379" s="2" t="s">
        <v>70</v>
      </c>
      <c r="D379" s="2" t="s">
        <v>506</v>
      </c>
      <c r="E379" s="4">
        <v>2409</v>
      </c>
      <c r="F379" s="7" t="s">
        <v>71</v>
      </c>
      <c r="G379" s="7">
        <v>7</v>
      </c>
      <c r="H379" s="7" t="s">
        <v>899</v>
      </c>
      <c r="I379" s="7" t="s">
        <v>900</v>
      </c>
      <c r="J379" s="7">
        <v>15513.96</v>
      </c>
      <c r="K379" s="7" t="s">
        <v>901</v>
      </c>
      <c r="L379" s="7">
        <v>3468.96</v>
      </c>
      <c r="M379" s="1">
        <v>41518</v>
      </c>
      <c r="N379" s="4">
        <v>9</v>
      </c>
      <c r="O379" s="2" t="s">
        <v>63</v>
      </c>
      <c r="P379" s="4">
        <v>2013</v>
      </c>
      <c r="Q379" t="str">
        <f>IF(Table1[[#This Row],[UnitsSold]]&gt;3000,"Large",IF(Table1[[#This Row],[UnitsSold]]&gt;1500,"Midium","Small"))</f>
        <v>Midium</v>
      </c>
    </row>
    <row r="380" spans="1:17" x14ac:dyDescent="0.3">
      <c r="A380" s="2" t="s">
        <v>4</v>
      </c>
      <c r="B380" s="2" t="s">
        <v>6</v>
      </c>
      <c r="C380" s="2" t="s">
        <v>70</v>
      </c>
      <c r="D380" s="2" t="s">
        <v>506</v>
      </c>
      <c r="E380" s="4">
        <v>1934</v>
      </c>
      <c r="F380" s="7" t="s">
        <v>71</v>
      </c>
      <c r="G380" s="7">
        <v>20</v>
      </c>
      <c r="H380" s="7" t="s">
        <v>902</v>
      </c>
      <c r="I380" s="7" t="s">
        <v>903</v>
      </c>
      <c r="J380" s="7">
        <v>35585.599999999999</v>
      </c>
      <c r="K380" s="7" t="s">
        <v>904</v>
      </c>
      <c r="L380" s="7">
        <v>16245.6</v>
      </c>
      <c r="M380" s="1">
        <v>41883</v>
      </c>
      <c r="N380" s="4">
        <v>9</v>
      </c>
      <c r="O380" s="2" t="s">
        <v>63</v>
      </c>
      <c r="P380" s="4">
        <v>2014</v>
      </c>
      <c r="Q380" t="str">
        <f>IF(Table1[[#This Row],[UnitsSold]]&gt;3000,"Large",IF(Table1[[#This Row],[UnitsSold]]&gt;1500,"Midium","Small"))</f>
        <v>Midium</v>
      </c>
    </row>
    <row r="381" spans="1:17" x14ac:dyDescent="0.3">
      <c r="A381" s="2" t="s">
        <v>4</v>
      </c>
      <c r="B381" s="2" t="s">
        <v>9</v>
      </c>
      <c r="C381" s="2" t="s">
        <v>70</v>
      </c>
      <c r="D381" s="2" t="s">
        <v>506</v>
      </c>
      <c r="E381" s="4">
        <v>2993</v>
      </c>
      <c r="F381" s="7" t="s">
        <v>71</v>
      </c>
      <c r="G381" s="7">
        <v>20</v>
      </c>
      <c r="H381" s="7" t="s">
        <v>905</v>
      </c>
      <c r="I381" s="7" t="s">
        <v>906</v>
      </c>
      <c r="J381" s="7">
        <v>55071.199999999997</v>
      </c>
      <c r="K381" s="7" t="s">
        <v>907</v>
      </c>
      <c r="L381" s="7">
        <v>25141.200000000001</v>
      </c>
      <c r="M381" s="1">
        <v>41883</v>
      </c>
      <c r="N381" s="4">
        <v>9</v>
      </c>
      <c r="O381" s="2" t="s">
        <v>63</v>
      </c>
      <c r="P381" s="4">
        <v>2014</v>
      </c>
      <c r="Q381" t="str">
        <f>IF(Table1[[#This Row],[UnitsSold]]&gt;3000,"Large",IF(Table1[[#This Row],[UnitsSold]]&gt;1500,"Midium","Small"))</f>
        <v>Midium</v>
      </c>
    </row>
    <row r="382" spans="1:17" x14ac:dyDescent="0.3">
      <c r="A382" s="2" t="s">
        <v>4</v>
      </c>
      <c r="B382" s="2" t="s">
        <v>6</v>
      </c>
      <c r="C382" s="2" t="s">
        <v>70</v>
      </c>
      <c r="D382" s="2" t="s">
        <v>506</v>
      </c>
      <c r="E382" s="4">
        <v>2146</v>
      </c>
      <c r="F382" s="7" t="s">
        <v>71</v>
      </c>
      <c r="G382" s="7">
        <v>350</v>
      </c>
      <c r="H382" s="7" t="s">
        <v>908</v>
      </c>
      <c r="I382" s="7" t="s">
        <v>909</v>
      </c>
      <c r="J382" s="7" t="s">
        <v>1754</v>
      </c>
      <c r="K382" s="7" t="s">
        <v>910</v>
      </c>
      <c r="L382" s="7" t="s">
        <v>1889</v>
      </c>
      <c r="M382" s="1">
        <v>41579</v>
      </c>
      <c r="N382" s="4">
        <v>11</v>
      </c>
      <c r="O382" s="2" t="s">
        <v>94</v>
      </c>
      <c r="P382" s="4">
        <v>2013</v>
      </c>
      <c r="Q382" t="str">
        <f>IF(Table1[[#This Row],[UnitsSold]]&gt;3000,"Large",IF(Table1[[#This Row],[UnitsSold]]&gt;1500,"Midium","Small"))</f>
        <v>Midium</v>
      </c>
    </row>
    <row r="383" spans="1:17" x14ac:dyDescent="0.3">
      <c r="A383" s="2" t="s">
        <v>4</v>
      </c>
      <c r="B383" s="2" t="s">
        <v>9</v>
      </c>
      <c r="C383" s="2" t="s">
        <v>70</v>
      </c>
      <c r="D383" s="2" t="s">
        <v>506</v>
      </c>
      <c r="E383" s="4">
        <v>1946</v>
      </c>
      <c r="F383" s="7" t="s">
        <v>71</v>
      </c>
      <c r="G383" s="7">
        <v>7</v>
      </c>
      <c r="H383" s="7" t="s">
        <v>911</v>
      </c>
      <c r="I383" s="7" t="s">
        <v>912</v>
      </c>
      <c r="J383" s="7">
        <v>12532.24</v>
      </c>
      <c r="K383" s="7" t="s">
        <v>913</v>
      </c>
      <c r="L383" s="7">
        <v>2802.24</v>
      </c>
      <c r="M383" s="1">
        <v>41609</v>
      </c>
      <c r="N383" s="4">
        <v>12</v>
      </c>
      <c r="O383" s="2" t="s">
        <v>41</v>
      </c>
      <c r="P383" s="4">
        <v>2013</v>
      </c>
      <c r="Q383" t="str">
        <f>IF(Table1[[#This Row],[UnitsSold]]&gt;3000,"Large",IF(Table1[[#This Row],[UnitsSold]]&gt;1500,"Midium","Small"))</f>
        <v>Midium</v>
      </c>
    </row>
    <row r="384" spans="1:17" x14ac:dyDescent="0.3">
      <c r="A384" s="2" t="s">
        <v>4</v>
      </c>
      <c r="B384" s="2" t="s">
        <v>9</v>
      </c>
      <c r="C384" s="2" t="s">
        <v>70</v>
      </c>
      <c r="D384" s="2" t="s">
        <v>506</v>
      </c>
      <c r="E384" s="4">
        <v>1362</v>
      </c>
      <c r="F384" s="7" t="s">
        <v>71</v>
      </c>
      <c r="G384" s="7">
        <v>350</v>
      </c>
      <c r="H384" s="7" t="s">
        <v>856</v>
      </c>
      <c r="I384" s="7" t="s">
        <v>857</v>
      </c>
      <c r="J384" s="7" t="s">
        <v>1749</v>
      </c>
      <c r="K384" s="7" t="s">
        <v>858</v>
      </c>
      <c r="L384" s="7">
        <v>84444</v>
      </c>
      <c r="M384" s="1">
        <v>41974</v>
      </c>
      <c r="N384" s="4">
        <v>12</v>
      </c>
      <c r="O384" s="2" t="s">
        <v>41</v>
      </c>
      <c r="P384" s="4">
        <v>2014</v>
      </c>
      <c r="Q384" t="str">
        <f>IF(Table1[[#This Row],[UnitsSold]]&gt;3000,"Large",IF(Table1[[#This Row],[UnitsSold]]&gt;1500,"Midium","Small"))</f>
        <v>Small</v>
      </c>
    </row>
    <row r="385" spans="1:17" x14ac:dyDescent="0.3">
      <c r="A385" s="2" t="s">
        <v>47</v>
      </c>
      <c r="B385" s="2" t="s">
        <v>5</v>
      </c>
      <c r="C385" s="2" t="s">
        <v>101</v>
      </c>
      <c r="D385" s="2" t="s">
        <v>506</v>
      </c>
      <c r="E385" s="4">
        <v>598</v>
      </c>
      <c r="F385" s="7" t="s">
        <v>102</v>
      </c>
      <c r="G385" s="7">
        <v>12</v>
      </c>
      <c r="H385" s="7" t="s">
        <v>914</v>
      </c>
      <c r="I385" s="7" t="s">
        <v>915</v>
      </c>
      <c r="J385" s="7">
        <v>6601.92</v>
      </c>
      <c r="K385" s="7" t="s">
        <v>916</v>
      </c>
      <c r="L385" s="7">
        <v>4807.92</v>
      </c>
      <c r="M385" s="1">
        <v>41699</v>
      </c>
      <c r="N385" s="4">
        <v>3</v>
      </c>
      <c r="O385" s="2" t="s">
        <v>46</v>
      </c>
      <c r="P385" s="4">
        <v>2014</v>
      </c>
      <c r="Q385" t="str">
        <f>IF(Table1[[#This Row],[UnitsSold]]&gt;3000,"Large",IF(Table1[[#This Row],[UnitsSold]]&gt;1500,"Midium","Small"))</f>
        <v>Small</v>
      </c>
    </row>
    <row r="386" spans="1:17" x14ac:dyDescent="0.3">
      <c r="A386" s="2" t="s">
        <v>4</v>
      </c>
      <c r="B386" s="2" t="s">
        <v>67</v>
      </c>
      <c r="C386" s="2" t="s">
        <v>101</v>
      </c>
      <c r="D386" s="2" t="s">
        <v>506</v>
      </c>
      <c r="E386" s="4">
        <v>2907</v>
      </c>
      <c r="F386" s="7" t="s">
        <v>102</v>
      </c>
      <c r="G386" s="7">
        <v>7</v>
      </c>
      <c r="H386" s="7" t="s">
        <v>917</v>
      </c>
      <c r="I386" s="7" t="s">
        <v>918</v>
      </c>
      <c r="J386" s="7">
        <v>18721.080000000002</v>
      </c>
      <c r="K386" s="7" t="s">
        <v>919</v>
      </c>
      <c r="L386" s="7">
        <v>4186.08</v>
      </c>
      <c r="M386" s="1">
        <v>41791</v>
      </c>
      <c r="N386" s="4">
        <v>6</v>
      </c>
      <c r="O386" s="2" t="s">
        <v>34</v>
      </c>
      <c r="P386" s="4">
        <v>2014</v>
      </c>
      <c r="Q386" t="str">
        <f>IF(Table1[[#This Row],[UnitsSold]]&gt;3000,"Large",IF(Table1[[#This Row],[UnitsSold]]&gt;1500,"Midium","Small"))</f>
        <v>Midium</v>
      </c>
    </row>
    <row r="387" spans="1:17" x14ac:dyDescent="0.3">
      <c r="A387" s="2" t="s">
        <v>4</v>
      </c>
      <c r="B387" s="2" t="s">
        <v>6</v>
      </c>
      <c r="C387" s="2" t="s">
        <v>101</v>
      </c>
      <c r="D387" s="2" t="s">
        <v>506</v>
      </c>
      <c r="E387" s="4">
        <v>2338</v>
      </c>
      <c r="F387" s="7" t="s">
        <v>102</v>
      </c>
      <c r="G387" s="7">
        <v>7</v>
      </c>
      <c r="H387" s="7" t="s">
        <v>920</v>
      </c>
      <c r="I387" s="7" t="s">
        <v>921</v>
      </c>
      <c r="J387" s="7">
        <v>15056.72</v>
      </c>
      <c r="K387" s="7" t="s">
        <v>922</v>
      </c>
      <c r="L387" s="7">
        <v>3366.72</v>
      </c>
      <c r="M387" s="1">
        <v>41791</v>
      </c>
      <c r="N387" s="4">
        <v>6</v>
      </c>
      <c r="O387" s="2" t="s">
        <v>34</v>
      </c>
      <c r="P387" s="4">
        <v>2014</v>
      </c>
      <c r="Q387" t="str">
        <f>IF(Table1[[#This Row],[UnitsSold]]&gt;3000,"Large",IF(Table1[[#This Row],[UnitsSold]]&gt;1500,"Midium","Small"))</f>
        <v>Midium</v>
      </c>
    </row>
    <row r="388" spans="1:17" x14ac:dyDescent="0.3">
      <c r="A388" s="2" t="s">
        <v>57</v>
      </c>
      <c r="B388" s="2" t="s">
        <v>8</v>
      </c>
      <c r="C388" s="2" t="s">
        <v>101</v>
      </c>
      <c r="D388" s="2" t="s">
        <v>506</v>
      </c>
      <c r="E388" s="4">
        <v>386</v>
      </c>
      <c r="F388" s="7" t="s">
        <v>102</v>
      </c>
      <c r="G388" s="7">
        <v>300</v>
      </c>
      <c r="H388" s="7" t="s">
        <v>923</v>
      </c>
      <c r="I388" s="7" t="s">
        <v>924</v>
      </c>
      <c r="J388" s="7" t="s">
        <v>1755</v>
      </c>
      <c r="K388" s="7" t="s">
        <v>925</v>
      </c>
      <c r="L388" s="7">
        <v>10036</v>
      </c>
      <c r="M388" s="1">
        <v>41579</v>
      </c>
      <c r="N388" s="4">
        <v>11</v>
      </c>
      <c r="O388" s="2" t="s">
        <v>94</v>
      </c>
      <c r="P388" s="4">
        <v>2013</v>
      </c>
      <c r="Q388" t="str">
        <f>IF(Table1[[#This Row],[UnitsSold]]&gt;3000,"Large",IF(Table1[[#This Row],[UnitsSold]]&gt;1500,"Midium","Small"))</f>
        <v>Small</v>
      </c>
    </row>
    <row r="389" spans="1:17" x14ac:dyDescent="0.3">
      <c r="A389" s="2" t="s">
        <v>57</v>
      </c>
      <c r="B389" s="2" t="s">
        <v>9</v>
      </c>
      <c r="C389" s="2" t="s">
        <v>101</v>
      </c>
      <c r="D389" s="2" t="s">
        <v>506</v>
      </c>
      <c r="E389" s="4">
        <v>635</v>
      </c>
      <c r="F389" s="7" t="s">
        <v>102</v>
      </c>
      <c r="G389" s="7">
        <v>300</v>
      </c>
      <c r="H389" s="7" t="s">
        <v>926</v>
      </c>
      <c r="I389" s="7" t="s">
        <v>927</v>
      </c>
      <c r="J389" s="7" t="s">
        <v>1756</v>
      </c>
      <c r="K389" s="7" t="s">
        <v>928</v>
      </c>
      <c r="L389" s="7">
        <v>16510</v>
      </c>
      <c r="M389" s="1">
        <v>41974</v>
      </c>
      <c r="N389" s="4">
        <v>12</v>
      </c>
      <c r="O389" s="2" t="s">
        <v>41</v>
      </c>
      <c r="P389" s="4">
        <v>2014</v>
      </c>
      <c r="Q389" t="str">
        <f>IF(Table1[[#This Row],[UnitsSold]]&gt;3000,"Large",IF(Table1[[#This Row],[UnitsSold]]&gt;1500,"Midium","Small"))</f>
        <v>Small</v>
      </c>
    </row>
    <row r="390" spans="1:17" x14ac:dyDescent="0.3">
      <c r="A390" s="2" t="s">
        <v>4</v>
      </c>
      <c r="B390" s="2" t="s">
        <v>8</v>
      </c>
      <c r="C390" s="2" t="s">
        <v>111</v>
      </c>
      <c r="D390" s="2" t="s">
        <v>506</v>
      </c>
      <c r="E390" s="4">
        <v>574.5</v>
      </c>
      <c r="F390" s="7" t="s">
        <v>112</v>
      </c>
      <c r="G390" s="7">
        <v>350</v>
      </c>
      <c r="H390" s="7" t="s">
        <v>929</v>
      </c>
      <c r="I390" s="7" t="s">
        <v>930</v>
      </c>
      <c r="J390" s="7" t="s">
        <v>1757</v>
      </c>
      <c r="K390" s="7" t="s">
        <v>931</v>
      </c>
      <c r="L390" s="7">
        <v>35619</v>
      </c>
      <c r="M390" s="1">
        <v>41730</v>
      </c>
      <c r="N390" s="4">
        <v>4</v>
      </c>
      <c r="O390" s="2" t="s">
        <v>117</v>
      </c>
      <c r="P390" s="4">
        <v>2014</v>
      </c>
      <c r="Q390" t="str">
        <f>IF(Table1[[#This Row],[UnitsSold]]&gt;3000,"Large",IF(Table1[[#This Row],[UnitsSold]]&gt;1500,"Midium","Small"))</f>
        <v>Small</v>
      </c>
    </row>
    <row r="391" spans="1:17" x14ac:dyDescent="0.3">
      <c r="A391" s="2" t="s">
        <v>4</v>
      </c>
      <c r="B391" s="2" t="s">
        <v>6</v>
      </c>
      <c r="C391" s="2" t="s">
        <v>111</v>
      </c>
      <c r="D391" s="2" t="s">
        <v>506</v>
      </c>
      <c r="E391" s="4">
        <v>2338</v>
      </c>
      <c r="F391" s="7" t="s">
        <v>112</v>
      </c>
      <c r="G391" s="7">
        <v>7</v>
      </c>
      <c r="H391" s="7" t="s">
        <v>920</v>
      </c>
      <c r="I391" s="7" t="s">
        <v>921</v>
      </c>
      <c r="J391" s="7">
        <v>15056.72</v>
      </c>
      <c r="K391" s="7" t="s">
        <v>922</v>
      </c>
      <c r="L391" s="7">
        <v>3366.72</v>
      </c>
      <c r="M391" s="1">
        <v>41791</v>
      </c>
      <c r="N391" s="4">
        <v>6</v>
      </c>
      <c r="O391" s="2" t="s">
        <v>34</v>
      </c>
      <c r="P391" s="4">
        <v>2014</v>
      </c>
      <c r="Q391" t="str">
        <f>IF(Table1[[#This Row],[UnitsSold]]&gt;3000,"Large",IF(Table1[[#This Row],[UnitsSold]]&gt;1500,"Midium","Small"))</f>
        <v>Midium</v>
      </c>
    </row>
    <row r="392" spans="1:17" x14ac:dyDescent="0.3">
      <c r="A392" s="2" t="s">
        <v>4</v>
      </c>
      <c r="B392" s="2" t="s">
        <v>8</v>
      </c>
      <c r="C392" s="2" t="s">
        <v>111</v>
      </c>
      <c r="D392" s="2" t="s">
        <v>506</v>
      </c>
      <c r="E392" s="4">
        <v>381</v>
      </c>
      <c r="F392" s="7" t="s">
        <v>112</v>
      </c>
      <c r="G392" s="7">
        <v>350</v>
      </c>
      <c r="H392" s="7" t="s">
        <v>932</v>
      </c>
      <c r="I392" s="7" t="s">
        <v>933</v>
      </c>
      <c r="J392" s="7" t="s">
        <v>1758</v>
      </c>
      <c r="K392" s="7" t="s">
        <v>934</v>
      </c>
      <c r="L392" s="7">
        <v>23622</v>
      </c>
      <c r="M392" s="1">
        <v>41852</v>
      </c>
      <c r="N392" s="4">
        <v>8</v>
      </c>
      <c r="O392" s="2" t="s">
        <v>60</v>
      </c>
      <c r="P392" s="4">
        <v>2014</v>
      </c>
      <c r="Q392" t="str">
        <f>IF(Table1[[#This Row],[UnitsSold]]&gt;3000,"Large",IF(Table1[[#This Row],[UnitsSold]]&gt;1500,"Midium","Small"))</f>
        <v>Small</v>
      </c>
    </row>
    <row r="393" spans="1:17" x14ac:dyDescent="0.3">
      <c r="A393" s="2" t="s">
        <v>4</v>
      </c>
      <c r="B393" s="2" t="s">
        <v>6</v>
      </c>
      <c r="C393" s="2" t="s">
        <v>111</v>
      </c>
      <c r="D393" s="2" t="s">
        <v>506</v>
      </c>
      <c r="E393" s="4">
        <v>422</v>
      </c>
      <c r="F393" s="7" t="s">
        <v>112</v>
      </c>
      <c r="G393" s="7">
        <v>350</v>
      </c>
      <c r="H393" s="7" t="s">
        <v>935</v>
      </c>
      <c r="I393" s="7" t="s">
        <v>936</v>
      </c>
      <c r="J393" s="7" t="s">
        <v>1759</v>
      </c>
      <c r="K393" s="7" t="s">
        <v>937</v>
      </c>
      <c r="L393" s="7">
        <v>26164</v>
      </c>
      <c r="M393" s="1">
        <v>41852</v>
      </c>
      <c r="N393" s="4">
        <v>8</v>
      </c>
      <c r="O393" s="2" t="s">
        <v>60</v>
      </c>
      <c r="P393" s="4">
        <v>2014</v>
      </c>
      <c r="Q393" t="str">
        <f>IF(Table1[[#This Row],[UnitsSold]]&gt;3000,"Large",IF(Table1[[#This Row],[UnitsSold]]&gt;1500,"Midium","Small"))</f>
        <v>Small</v>
      </c>
    </row>
    <row r="394" spans="1:17" x14ac:dyDescent="0.3">
      <c r="A394" s="2" t="s">
        <v>57</v>
      </c>
      <c r="B394" s="2" t="s">
        <v>5</v>
      </c>
      <c r="C394" s="2" t="s">
        <v>111</v>
      </c>
      <c r="D394" s="2" t="s">
        <v>506</v>
      </c>
      <c r="E394" s="4">
        <v>2134</v>
      </c>
      <c r="F394" s="7" t="s">
        <v>112</v>
      </c>
      <c r="G394" s="7">
        <v>300</v>
      </c>
      <c r="H394" s="7" t="s">
        <v>938</v>
      </c>
      <c r="I394" s="7" t="s">
        <v>939</v>
      </c>
      <c r="J394" s="7" t="s">
        <v>1760</v>
      </c>
      <c r="K394" s="7" t="s">
        <v>940</v>
      </c>
      <c r="L394" s="7">
        <v>55484</v>
      </c>
      <c r="M394" s="1">
        <v>41883</v>
      </c>
      <c r="N394" s="4">
        <v>9</v>
      </c>
      <c r="O394" s="2" t="s">
        <v>63</v>
      </c>
      <c r="P394" s="4">
        <v>2014</v>
      </c>
      <c r="Q394" t="str">
        <f>IF(Table1[[#This Row],[UnitsSold]]&gt;3000,"Large",IF(Table1[[#This Row],[UnitsSold]]&gt;1500,"Midium","Small"))</f>
        <v>Midium</v>
      </c>
    </row>
    <row r="395" spans="1:17" x14ac:dyDescent="0.3">
      <c r="A395" s="2" t="s">
        <v>57</v>
      </c>
      <c r="B395" s="2" t="s">
        <v>67</v>
      </c>
      <c r="C395" s="2" t="s">
        <v>111</v>
      </c>
      <c r="D395" s="2" t="s">
        <v>506</v>
      </c>
      <c r="E395" s="4">
        <v>808</v>
      </c>
      <c r="F395" s="7" t="s">
        <v>112</v>
      </c>
      <c r="G395" s="7">
        <v>300</v>
      </c>
      <c r="H395" s="7" t="s">
        <v>941</v>
      </c>
      <c r="I395" s="7" t="s">
        <v>942</v>
      </c>
      <c r="J395" s="7" t="s">
        <v>1761</v>
      </c>
      <c r="K395" s="7" t="s">
        <v>943</v>
      </c>
      <c r="L395" s="7">
        <v>21008</v>
      </c>
      <c r="M395" s="1">
        <v>41609</v>
      </c>
      <c r="N395" s="4">
        <v>12</v>
      </c>
      <c r="O395" s="2" t="s">
        <v>41</v>
      </c>
      <c r="P395" s="4">
        <v>2013</v>
      </c>
      <c r="Q395" t="str">
        <f>IF(Table1[[#This Row],[UnitsSold]]&gt;3000,"Large",IF(Table1[[#This Row],[UnitsSold]]&gt;1500,"Midium","Small"))</f>
        <v>Small</v>
      </c>
    </row>
    <row r="396" spans="1:17" x14ac:dyDescent="0.3">
      <c r="A396" s="2" t="s">
        <v>4</v>
      </c>
      <c r="B396" s="2" t="s">
        <v>5</v>
      </c>
      <c r="C396" s="2" t="s">
        <v>122</v>
      </c>
      <c r="D396" s="2" t="s">
        <v>506</v>
      </c>
      <c r="E396" s="4">
        <v>708</v>
      </c>
      <c r="F396" s="7" t="s">
        <v>123</v>
      </c>
      <c r="G396" s="7">
        <v>20</v>
      </c>
      <c r="H396" s="7" t="s">
        <v>862</v>
      </c>
      <c r="I396" s="7" t="s">
        <v>863</v>
      </c>
      <c r="J396" s="7">
        <v>13027.2</v>
      </c>
      <c r="K396" s="7" t="s">
        <v>864</v>
      </c>
      <c r="L396" s="7">
        <v>5947.2</v>
      </c>
      <c r="M396" s="1">
        <v>41791</v>
      </c>
      <c r="N396" s="4">
        <v>6</v>
      </c>
      <c r="O396" s="2" t="s">
        <v>34</v>
      </c>
      <c r="P396" s="4">
        <v>2014</v>
      </c>
      <c r="Q396" t="str">
        <f>IF(Table1[[#This Row],[UnitsSold]]&gt;3000,"Large",IF(Table1[[#This Row],[UnitsSold]]&gt;1500,"Midium","Small"))</f>
        <v>Small</v>
      </c>
    </row>
    <row r="397" spans="1:17" x14ac:dyDescent="0.3">
      <c r="A397" s="2" t="s">
        <v>4</v>
      </c>
      <c r="B397" s="2" t="s">
        <v>67</v>
      </c>
      <c r="C397" s="2" t="s">
        <v>122</v>
      </c>
      <c r="D397" s="2" t="s">
        <v>506</v>
      </c>
      <c r="E397" s="4">
        <v>2907</v>
      </c>
      <c r="F397" s="7" t="s">
        <v>123</v>
      </c>
      <c r="G397" s="7">
        <v>7</v>
      </c>
      <c r="H397" s="7" t="s">
        <v>917</v>
      </c>
      <c r="I397" s="7" t="s">
        <v>918</v>
      </c>
      <c r="J397" s="7">
        <v>18721.080000000002</v>
      </c>
      <c r="K397" s="7" t="s">
        <v>919</v>
      </c>
      <c r="L397" s="7">
        <v>4186.08</v>
      </c>
      <c r="M397" s="1">
        <v>41791</v>
      </c>
      <c r="N397" s="4">
        <v>6</v>
      </c>
      <c r="O397" s="2" t="s">
        <v>34</v>
      </c>
      <c r="P397" s="4">
        <v>2014</v>
      </c>
      <c r="Q397" t="str">
        <f>IF(Table1[[#This Row],[UnitsSold]]&gt;3000,"Large",IF(Table1[[#This Row],[UnitsSold]]&gt;1500,"Midium","Small"))</f>
        <v>Midium</v>
      </c>
    </row>
    <row r="398" spans="1:17" x14ac:dyDescent="0.3">
      <c r="A398" s="2" t="s">
        <v>4</v>
      </c>
      <c r="B398" s="2" t="s">
        <v>6</v>
      </c>
      <c r="C398" s="2" t="s">
        <v>122</v>
      </c>
      <c r="D398" s="2" t="s">
        <v>506</v>
      </c>
      <c r="E398" s="4">
        <v>1366</v>
      </c>
      <c r="F398" s="7" t="s">
        <v>123</v>
      </c>
      <c r="G398" s="7">
        <v>20</v>
      </c>
      <c r="H398" s="7" t="s">
        <v>887</v>
      </c>
      <c r="I398" s="7" t="s">
        <v>888</v>
      </c>
      <c r="J398" s="7">
        <v>25134.400000000001</v>
      </c>
      <c r="K398" s="7" t="s">
        <v>889</v>
      </c>
      <c r="L398" s="7">
        <v>11474.4</v>
      </c>
      <c r="M398" s="1">
        <v>41791</v>
      </c>
      <c r="N398" s="4">
        <v>6</v>
      </c>
      <c r="O398" s="2" t="s">
        <v>34</v>
      </c>
      <c r="P398" s="4">
        <v>2014</v>
      </c>
      <c r="Q398" t="str">
        <f>IF(Table1[[#This Row],[UnitsSold]]&gt;3000,"Large",IF(Table1[[#This Row],[UnitsSold]]&gt;1500,"Midium","Small"))</f>
        <v>Small</v>
      </c>
    </row>
    <row r="399" spans="1:17" x14ac:dyDescent="0.3">
      <c r="A399" s="2" t="s">
        <v>57</v>
      </c>
      <c r="B399" s="2" t="s">
        <v>9</v>
      </c>
      <c r="C399" s="2" t="s">
        <v>122</v>
      </c>
      <c r="D399" s="2" t="s">
        <v>506</v>
      </c>
      <c r="E399" s="4">
        <v>2460</v>
      </c>
      <c r="F399" s="7" t="s">
        <v>123</v>
      </c>
      <c r="G399" s="7">
        <v>300</v>
      </c>
      <c r="H399" s="7" t="s">
        <v>890</v>
      </c>
      <c r="I399" s="7" t="s">
        <v>891</v>
      </c>
      <c r="J399" s="7" t="s">
        <v>1753</v>
      </c>
      <c r="K399" s="7" t="s">
        <v>892</v>
      </c>
      <c r="L399" s="7">
        <v>63960</v>
      </c>
      <c r="M399" s="1">
        <v>41791</v>
      </c>
      <c r="N399" s="4">
        <v>6</v>
      </c>
      <c r="O399" s="2" t="s">
        <v>34</v>
      </c>
      <c r="P399" s="4">
        <v>2014</v>
      </c>
      <c r="Q399" t="str">
        <f>IF(Table1[[#This Row],[UnitsSold]]&gt;3000,"Large",IF(Table1[[#This Row],[UnitsSold]]&gt;1500,"Midium","Small"))</f>
        <v>Midium</v>
      </c>
    </row>
    <row r="400" spans="1:17" x14ac:dyDescent="0.3">
      <c r="A400" s="2" t="s">
        <v>4</v>
      </c>
      <c r="B400" s="2" t="s">
        <v>6</v>
      </c>
      <c r="C400" s="2" t="s">
        <v>122</v>
      </c>
      <c r="D400" s="2" t="s">
        <v>506</v>
      </c>
      <c r="E400" s="4">
        <v>1520</v>
      </c>
      <c r="F400" s="7" t="s">
        <v>123</v>
      </c>
      <c r="G400" s="7">
        <v>20</v>
      </c>
      <c r="H400" s="7" t="s">
        <v>944</v>
      </c>
      <c r="I400" s="7" t="s">
        <v>945</v>
      </c>
      <c r="J400" s="7">
        <v>27968</v>
      </c>
      <c r="K400" s="7" t="s">
        <v>946</v>
      </c>
      <c r="L400" s="7">
        <v>12768</v>
      </c>
      <c r="M400" s="1">
        <v>41944</v>
      </c>
      <c r="N400" s="4">
        <v>11</v>
      </c>
      <c r="O400" s="2" t="s">
        <v>94</v>
      </c>
      <c r="P400" s="4">
        <v>2014</v>
      </c>
      <c r="Q400" t="str">
        <f>IF(Table1[[#This Row],[UnitsSold]]&gt;3000,"Large",IF(Table1[[#This Row],[UnitsSold]]&gt;1500,"Midium","Small"))</f>
        <v>Midium</v>
      </c>
    </row>
    <row r="401" spans="1:17" x14ac:dyDescent="0.3">
      <c r="A401" s="2" t="s">
        <v>7</v>
      </c>
      <c r="B401" s="2" t="s">
        <v>6</v>
      </c>
      <c r="C401" s="2" t="s">
        <v>122</v>
      </c>
      <c r="D401" s="2" t="s">
        <v>506</v>
      </c>
      <c r="E401" s="4">
        <v>711</v>
      </c>
      <c r="F401" s="7" t="s">
        <v>123</v>
      </c>
      <c r="G401" s="7">
        <v>15</v>
      </c>
      <c r="H401" s="7" t="s">
        <v>875</v>
      </c>
      <c r="I401" s="7" t="s">
        <v>876</v>
      </c>
      <c r="J401" s="7">
        <v>9811.7999999999993</v>
      </c>
      <c r="K401" s="7" t="s">
        <v>877</v>
      </c>
      <c r="L401" s="7">
        <v>2701.8</v>
      </c>
      <c r="M401" s="1">
        <v>41974</v>
      </c>
      <c r="N401" s="4">
        <v>12</v>
      </c>
      <c r="O401" s="2" t="s">
        <v>41</v>
      </c>
      <c r="P401" s="4">
        <v>2014</v>
      </c>
      <c r="Q401" t="str">
        <f>IF(Table1[[#This Row],[UnitsSold]]&gt;3000,"Large",IF(Table1[[#This Row],[UnitsSold]]&gt;1500,"Midium","Small"))</f>
        <v>Small</v>
      </c>
    </row>
    <row r="402" spans="1:17" x14ac:dyDescent="0.3">
      <c r="A402" s="2" t="s">
        <v>47</v>
      </c>
      <c r="B402" s="2" t="s">
        <v>9</v>
      </c>
      <c r="C402" s="2" t="s">
        <v>122</v>
      </c>
      <c r="D402" s="2" t="s">
        <v>506</v>
      </c>
      <c r="E402" s="4">
        <v>1375</v>
      </c>
      <c r="F402" s="7" t="s">
        <v>123</v>
      </c>
      <c r="G402" s="7">
        <v>12</v>
      </c>
      <c r="H402" s="7" t="s">
        <v>565</v>
      </c>
      <c r="I402" s="7" t="s">
        <v>947</v>
      </c>
      <c r="J402" s="7">
        <v>15180</v>
      </c>
      <c r="K402" s="7" t="s">
        <v>948</v>
      </c>
      <c r="L402" s="7">
        <v>11055</v>
      </c>
      <c r="M402" s="1">
        <v>41609</v>
      </c>
      <c r="N402" s="4">
        <v>12</v>
      </c>
      <c r="O402" s="2" t="s">
        <v>41</v>
      </c>
      <c r="P402" s="4">
        <v>2013</v>
      </c>
      <c r="Q402" t="str">
        <f>IF(Table1[[#This Row],[UnitsSold]]&gt;3000,"Large",IF(Table1[[#This Row],[UnitsSold]]&gt;1500,"Midium","Small"))</f>
        <v>Small</v>
      </c>
    </row>
    <row r="403" spans="1:17" x14ac:dyDescent="0.3">
      <c r="A403" s="2" t="s">
        <v>57</v>
      </c>
      <c r="B403" s="2" t="s">
        <v>9</v>
      </c>
      <c r="C403" s="2" t="s">
        <v>122</v>
      </c>
      <c r="D403" s="2" t="s">
        <v>506</v>
      </c>
      <c r="E403" s="4">
        <v>635</v>
      </c>
      <c r="F403" s="7" t="s">
        <v>123</v>
      </c>
      <c r="G403" s="7">
        <v>300</v>
      </c>
      <c r="H403" s="7" t="s">
        <v>926</v>
      </c>
      <c r="I403" s="7" t="s">
        <v>927</v>
      </c>
      <c r="J403" s="7" t="s">
        <v>1756</v>
      </c>
      <c r="K403" s="7" t="s">
        <v>928</v>
      </c>
      <c r="L403" s="7">
        <v>16510</v>
      </c>
      <c r="M403" s="1">
        <v>41974</v>
      </c>
      <c r="N403" s="4">
        <v>12</v>
      </c>
      <c r="O403" s="2" t="s">
        <v>41</v>
      </c>
      <c r="P403" s="4">
        <v>2014</v>
      </c>
      <c r="Q403" t="str">
        <f>IF(Table1[[#This Row],[UnitsSold]]&gt;3000,"Large",IF(Table1[[#This Row],[UnitsSold]]&gt;1500,"Midium","Small"))</f>
        <v>Small</v>
      </c>
    </row>
    <row r="404" spans="1:17" x14ac:dyDescent="0.3">
      <c r="A404" s="2" t="s">
        <v>4</v>
      </c>
      <c r="B404" s="2" t="s">
        <v>67</v>
      </c>
      <c r="C404" s="2" t="s">
        <v>111</v>
      </c>
      <c r="D404" s="2" t="s">
        <v>506</v>
      </c>
      <c r="E404" s="4">
        <v>436.5</v>
      </c>
      <c r="F404" s="7" t="s">
        <v>112</v>
      </c>
      <c r="G404" s="7">
        <v>20</v>
      </c>
      <c r="H404" s="7" t="s">
        <v>949</v>
      </c>
      <c r="I404" s="7" t="s">
        <v>950</v>
      </c>
      <c r="J404" s="7">
        <v>8031.6</v>
      </c>
      <c r="K404" s="7" t="s">
        <v>951</v>
      </c>
      <c r="L404" s="7">
        <v>3666.6</v>
      </c>
      <c r="M404" s="1">
        <v>41821</v>
      </c>
      <c r="N404" s="4">
        <v>7</v>
      </c>
      <c r="O404" s="2" t="s">
        <v>56</v>
      </c>
      <c r="P404" s="4">
        <v>2014</v>
      </c>
      <c r="Q404" t="str">
        <f>IF(Table1[[#This Row],[UnitsSold]]&gt;3000,"Large",IF(Table1[[#This Row],[UnitsSold]]&gt;1500,"Midium","Small"))</f>
        <v>Small</v>
      </c>
    </row>
    <row r="405" spans="1:17" x14ac:dyDescent="0.3">
      <c r="A405" s="2" t="s">
        <v>57</v>
      </c>
      <c r="B405" s="2" t="s">
        <v>5</v>
      </c>
      <c r="C405" s="2" t="s">
        <v>23</v>
      </c>
      <c r="D405" s="2" t="s">
        <v>506</v>
      </c>
      <c r="E405" s="4">
        <v>1094</v>
      </c>
      <c r="F405" s="7" t="s">
        <v>25</v>
      </c>
      <c r="G405" s="7">
        <v>300</v>
      </c>
      <c r="H405" s="7" t="s">
        <v>952</v>
      </c>
      <c r="I405" s="7" t="s">
        <v>953</v>
      </c>
      <c r="J405" s="7" t="s">
        <v>1762</v>
      </c>
      <c r="K405" s="7" t="s">
        <v>954</v>
      </c>
      <c r="L405" s="7">
        <v>25162</v>
      </c>
      <c r="M405" s="1">
        <v>41791</v>
      </c>
      <c r="N405" s="4">
        <v>6</v>
      </c>
      <c r="O405" s="2" t="s">
        <v>34</v>
      </c>
      <c r="P405" s="4">
        <v>2014</v>
      </c>
      <c r="Q405" t="str">
        <f>IF(Table1[[#This Row],[UnitsSold]]&gt;3000,"Large",IF(Table1[[#This Row],[UnitsSold]]&gt;1500,"Midium","Small"))</f>
        <v>Small</v>
      </c>
    </row>
    <row r="406" spans="1:17" x14ac:dyDescent="0.3">
      <c r="A406" s="2" t="s">
        <v>47</v>
      </c>
      <c r="B406" s="2" t="s">
        <v>9</v>
      </c>
      <c r="C406" s="2" t="s">
        <v>23</v>
      </c>
      <c r="D406" s="2" t="s">
        <v>506</v>
      </c>
      <c r="E406" s="4">
        <v>367</v>
      </c>
      <c r="F406" s="7" t="s">
        <v>25</v>
      </c>
      <c r="G406" s="7">
        <v>12</v>
      </c>
      <c r="H406" s="7" t="s">
        <v>79</v>
      </c>
      <c r="I406" s="7" t="s">
        <v>955</v>
      </c>
      <c r="J406" s="7">
        <v>4007.64</v>
      </c>
      <c r="K406" s="7" t="s">
        <v>80</v>
      </c>
      <c r="L406" s="7">
        <v>2906.64</v>
      </c>
      <c r="M406" s="1">
        <v>41548</v>
      </c>
      <c r="N406" s="4">
        <v>10</v>
      </c>
      <c r="O406" s="2" t="s">
        <v>66</v>
      </c>
      <c r="P406" s="4">
        <v>2013</v>
      </c>
      <c r="Q406" t="str">
        <f>IF(Table1[[#This Row],[UnitsSold]]&gt;3000,"Large",IF(Table1[[#This Row],[UnitsSold]]&gt;1500,"Midium","Small"))</f>
        <v>Small</v>
      </c>
    </row>
    <row r="407" spans="1:17" x14ac:dyDescent="0.3">
      <c r="A407" s="2" t="s">
        <v>57</v>
      </c>
      <c r="B407" s="2" t="s">
        <v>5</v>
      </c>
      <c r="C407" s="2" t="s">
        <v>42</v>
      </c>
      <c r="D407" s="2" t="s">
        <v>506</v>
      </c>
      <c r="E407" s="4">
        <v>3802.5</v>
      </c>
      <c r="F407" s="7" t="s">
        <v>43</v>
      </c>
      <c r="G407" s="7">
        <v>300</v>
      </c>
      <c r="H407" s="7" t="s">
        <v>956</v>
      </c>
      <c r="I407" s="7" t="s">
        <v>957</v>
      </c>
      <c r="J407" s="7" t="s">
        <v>1763</v>
      </c>
      <c r="K407" s="7" t="s">
        <v>958</v>
      </c>
      <c r="L407" s="7">
        <v>87457.5</v>
      </c>
      <c r="M407" s="1">
        <v>41730</v>
      </c>
      <c r="N407" s="4">
        <v>4</v>
      </c>
      <c r="O407" s="2" t="s">
        <v>117</v>
      </c>
      <c r="P407" s="4">
        <v>2014</v>
      </c>
      <c r="Q407" t="str">
        <f>IF(Table1[[#This Row],[UnitsSold]]&gt;3000,"Large",IF(Table1[[#This Row],[UnitsSold]]&gt;1500,"Midium","Small"))</f>
        <v>Large</v>
      </c>
    </row>
    <row r="408" spans="1:17" x14ac:dyDescent="0.3">
      <c r="A408" s="2" t="s">
        <v>4</v>
      </c>
      <c r="B408" s="2" t="s">
        <v>8</v>
      </c>
      <c r="C408" s="2" t="s">
        <v>42</v>
      </c>
      <c r="D408" s="2" t="s">
        <v>506</v>
      </c>
      <c r="E408" s="4">
        <v>1666</v>
      </c>
      <c r="F408" s="7" t="s">
        <v>43</v>
      </c>
      <c r="G408" s="7">
        <v>350</v>
      </c>
      <c r="H408" s="7" t="s">
        <v>959</v>
      </c>
      <c r="I408" s="7" t="s">
        <v>960</v>
      </c>
      <c r="J408" s="7" t="s">
        <v>1764</v>
      </c>
      <c r="K408" s="7" t="s">
        <v>961</v>
      </c>
      <c r="L408" s="7">
        <v>97461</v>
      </c>
      <c r="M408" s="1">
        <v>41760</v>
      </c>
      <c r="N408" s="4">
        <v>5</v>
      </c>
      <c r="O408" s="2" t="s">
        <v>145</v>
      </c>
      <c r="P408" s="4">
        <v>2014</v>
      </c>
      <c r="Q408" t="str">
        <f>IF(Table1[[#This Row],[UnitsSold]]&gt;3000,"Large",IF(Table1[[#This Row],[UnitsSold]]&gt;1500,"Midium","Small"))</f>
        <v>Midium</v>
      </c>
    </row>
    <row r="409" spans="1:17" x14ac:dyDescent="0.3">
      <c r="A409" s="2" t="s">
        <v>57</v>
      </c>
      <c r="B409" s="2" t="s">
        <v>8</v>
      </c>
      <c r="C409" s="2" t="s">
        <v>42</v>
      </c>
      <c r="D409" s="2" t="s">
        <v>506</v>
      </c>
      <c r="E409" s="4">
        <v>322</v>
      </c>
      <c r="F409" s="7" t="s">
        <v>43</v>
      </c>
      <c r="G409" s="7">
        <v>300</v>
      </c>
      <c r="H409" s="7" t="s">
        <v>962</v>
      </c>
      <c r="I409" s="7" t="s">
        <v>963</v>
      </c>
      <c r="J409" s="7">
        <v>87906</v>
      </c>
      <c r="K409" s="7" t="s">
        <v>964</v>
      </c>
      <c r="L409" s="7">
        <v>7406</v>
      </c>
      <c r="M409" s="1">
        <v>41518</v>
      </c>
      <c r="N409" s="4">
        <v>9</v>
      </c>
      <c r="O409" s="2" t="s">
        <v>63</v>
      </c>
      <c r="P409" s="4">
        <v>2013</v>
      </c>
      <c r="Q409" t="str">
        <f>IF(Table1[[#This Row],[UnitsSold]]&gt;3000,"Large",IF(Table1[[#This Row],[UnitsSold]]&gt;1500,"Midium","Small"))</f>
        <v>Small</v>
      </c>
    </row>
    <row r="410" spans="1:17" x14ac:dyDescent="0.3">
      <c r="A410" s="2" t="s">
        <v>47</v>
      </c>
      <c r="B410" s="2" t="s">
        <v>5</v>
      </c>
      <c r="C410" s="2" t="s">
        <v>42</v>
      </c>
      <c r="D410" s="2" t="s">
        <v>506</v>
      </c>
      <c r="E410" s="4">
        <v>2321</v>
      </c>
      <c r="F410" s="7" t="s">
        <v>43</v>
      </c>
      <c r="G410" s="7">
        <v>12</v>
      </c>
      <c r="H410" s="7" t="s">
        <v>965</v>
      </c>
      <c r="I410" s="7" t="s">
        <v>966</v>
      </c>
      <c r="J410" s="7">
        <v>25345.32</v>
      </c>
      <c r="K410" s="7" t="s">
        <v>967</v>
      </c>
      <c r="L410" s="7">
        <v>18382.32</v>
      </c>
      <c r="M410" s="1">
        <v>41944</v>
      </c>
      <c r="N410" s="4">
        <v>11</v>
      </c>
      <c r="O410" s="2" t="s">
        <v>94</v>
      </c>
      <c r="P410" s="4">
        <v>2014</v>
      </c>
      <c r="Q410" t="str">
        <f>IF(Table1[[#This Row],[UnitsSold]]&gt;3000,"Large",IF(Table1[[#This Row],[UnitsSold]]&gt;1500,"Midium","Small"))</f>
        <v>Midium</v>
      </c>
    </row>
    <row r="411" spans="1:17" x14ac:dyDescent="0.3">
      <c r="A411" s="2" t="s">
        <v>10</v>
      </c>
      <c r="B411" s="2" t="s">
        <v>8</v>
      </c>
      <c r="C411" s="2" t="s">
        <v>42</v>
      </c>
      <c r="D411" s="2" t="s">
        <v>506</v>
      </c>
      <c r="E411" s="4">
        <v>1857</v>
      </c>
      <c r="F411" s="7" t="s">
        <v>43</v>
      </c>
      <c r="G411" s="7">
        <v>125</v>
      </c>
      <c r="H411" s="7" t="s">
        <v>968</v>
      </c>
      <c r="I411" s="7" t="s">
        <v>969</v>
      </c>
      <c r="J411" s="7" t="s">
        <v>1765</v>
      </c>
      <c r="K411" s="7" t="s">
        <v>970</v>
      </c>
      <c r="L411" s="7">
        <v>11606.25</v>
      </c>
      <c r="M411" s="1">
        <v>41579</v>
      </c>
      <c r="N411" s="4">
        <v>11</v>
      </c>
      <c r="O411" s="2" t="s">
        <v>94</v>
      </c>
      <c r="P411" s="4">
        <v>2013</v>
      </c>
      <c r="Q411" t="str">
        <f>IF(Table1[[#This Row],[UnitsSold]]&gt;3000,"Large",IF(Table1[[#This Row],[UnitsSold]]&gt;1500,"Midium","Small"))</f>
        <v>Midium</v>
      </c>
    </row>
    <row r="412" spans="1:17" x14ac:dyDescent="0.3">
      <c r="A412" s="2" t="s">
        <v>4</v>
      </c>
      <c r="B412" s="2" t="s">
        <v>5</v>
      </c>
      <c r="C412" s="2" t="s">
        <v>42</v>
      </c>
      <c r="D412" s="2" t="s">
        <v>506</v>
      </c>
      <c r="E412" s="4">
        <v>1611</v>
      </c>
      <c r="F412" s="7" t="s">
        <v>43</v>
      </c>
      <c r="G412" s="7">
        <v>7</v>
      </c>
      <c r="H412" s="7" t="s">
        <v>971</v>
      </c>
      <c r="I412" s="7" t="s">
        <v>972</v>
      </c>
      <c r="J412" s="7">
        <v>10262.07</v>
      </c>
      <c r="K412" s="7" t="s">
        <v>973</v>
      </c>
      <c r="L412" s="7">
        <v>2207.0700000000002</v>
      </c>
      <c r="M412" s="1">
        <v>41609</v>
      </c>
      <c r="N412" s="4">
        <v>12</v>
      </c>
      <c r="O412" s="2" t="s">
        <v>41</v>
      </c>
      <c r="P412" s="4">
        <v>2013</v>
      </c>
      <c r="Q412" t="str">
        <f>IF(Table1[[#This Row],[UnitsSold]]&gt;3000,"Large",IF(Table1[[#This Row],[UnitsSold]]&gt;1500,"Midium","Small"))</f>
        <v>Midium</v>
      </c>
    </row>
    <row r="413" spans="1:17" x14ac:dyDescent="0.3">
      <c r="A413" s="2" t="s">
        <v>10</v>
      </c>
      <c r="B413" s="2" t="s">
        <v>67</v>
      </c>
      <c r="C413" s="2" t="s">
        <v>42</v>
      </c>
      <c r="D413" s="2" t="s">
        <v>506</v>
      </c>
      <c r="E413" s="4">
        <v>2797</v>
      </c>
      <c r="F413" s="7" t="s">
        <v>43</v>
      </c>
      <c r="G413" s="7">
        <v>125</v>
      </c>
      <c r="H413" s="7" t="s">
        <v>974</v>
      </c>
      <c r="I413" s="7" t="s">
        <v>975</v>
      </c>
      <c r="J413" s="7" t="s">
        <v>1766</v>
      </c>
      <c r="K413" s="7" t="s">
        <v>976</v>
      </c>
      <c r="L413" s="7">
        <v>17481.25</v>
      </c>
      <c r="M413" s="1">
        <v>41974</v>
      </c>
      <c r="N413" s="4">
        <v>12</v>
      </c>
      <c r="O413" s="2" t="s">
        <v>41</v>
      </c>
      <c r="P413" s="4">
        <v>2014</v>
      </c>
      <c r="Q413" t="str">
        <f>IF(Table1[[#This Row],[UnitsSold]]&gt;3000,"Large",IF(Table1[[#This Row],[UnitsSold]]&gt;1500,"Midium","Small"))</f>
        <v>Midium</v>
      </c>
    </row>
    <row r="414" spans="1:17" x14ac:dyDescent="0.3">
      <c r="A414" s="2" t="s">
        <v>57</v>
      </c>
      <c r="B414" s="2" t="s">
        <v>6</v>
      </c>
      <c r="C414" s="2" t="s">
        <v>42</v>
      </c>
      <c r="D414" s="2" t="s">
        <v>506</v>
      </c>
      <c r="E414" s="4">
        <v>334</v>
      </c>
      <c r="F414" s="7" t="s">
        <v>43</v>
      </c>
      <c r="G414" s="7">
        <v>300</v>
      </c>
      <c r="H414" s="7" t="s">
        <v>977</v>
      </c>
      <c r="I414" s="7" t="s">
        <v>978</v>
      </c>
      <c r="J414" s="7">
        <v>91182</v>
      </c>
      <c r="K414" s="7" t="s">
        <v>979</v>
      </c>
      <c r="L414" s="7">
        <v>7682</v>
      </c>
      <c r="M414" s="1">
        <v>41609</v>
      </c>
      <c r="N414" s="4">
        <v>12</v>
      </c>
      <c r="O414" s="2" t="s">
        <v>41</v>
      </c>
      <c r="P414" s="4">
        <v>2013</v>
      </c>
      <c r="Q414" t="str">
        <f>IF(Table1[[#This Row],[UnitsSold]]&gt;3000,"Large",IF(Table1[[#This Row],[UnitsSold]]&gt;1500,"Midium","Small"))</f>
        <v>Small</v>
      </c>
    </row>
    <row r="415" spans="1:17" x14ac:dyDescent="0.3">
      <c r="A415" s="2" t="s">
        <v>57</v>
      </c>
      <c r="B415" s="2" t="s">
        <v>9</v>
      </c>
      <c r="C415" s="2" t="s">
        <v>70</v>
      </c>
      <c r="D415" s="2" t="s">
        <v>506</v>
      </c>
      <c r="E415" s="4">
        <v>2565</v>
      </c>
      <c r="F415" s="7" t="s">
        <v>71</v>
      </c>
      <c r="G415" s="7">
        <v>300</v>
      </c>
      <c r="H415" s="7" t="s">
        <v>980</v>
      </c>
      <c r="I415" s="7" t="s">
        <v>981</v>
      </c>
      <c r="J415" s="7" t="s">
        <v>1767</v>
      </c>
      <c r="K415" s="7" t="s">
        <v>982</v>
      </c>
      <c r="L415" s="7">
        <v>58995</v>
      </c>
      <c r="M415" s="1">
        <v>41640</v>
      </c>
      <c r="N415" s="4">
        <v>1</v>
      </c>
      <c r="O415" s="2" t="s">
        <v>29</v>
      </c>
      <c r="P415" s="4">
        <v>2014</v>
      </c>
      <c r="Q415" t="str">
        <f>IF(Table1[[#This Row],[UnitsSold]]&gt;3000,"Large",IF(Table1[[#This Row],[UnitsSold]]&gt;1500,"Midium","Small"))</f>
        <v>Midium</v>
      </c>
    </row>
    <row r="416" spans="1:17" x14ac:dyDescent="0.3">
      <c r="A416" s="2" t="s">
        <v>4</v>
      </c>
      <c r="B416" s="2" t="s">
        <v>9</v>
      </c>
      <c r="C416" s="2" t="s">
        <v>70</v>
      </c>
      <c r="D416" s="2" t="s">
        <v>506</v>
      </c>
      <c r="E416" s="4">
        <v>2417</v>
      </c>
      <c r="F416" s="7" t="s">
        <v>71</v>
      </c>
      <c r="G416" s="7">
        <v>350</v>
      </c>
      <c r="H416" s="7" t="s">
        <v>983</v>
      </c>
      <c r="I416" s="7" t="s">
        <v>984</v>
      </c>
      <c r="J416" s="7" t="s">
        <v>1768</v>
      </c>
      <c r="K416" s="7" t="s">
        <v>985</v>
      </c>
      <c r="L416" s="7" t="s">
        <v>1890</v>
      </c>
      <c r="M416" s="1">
        <v>41640</v>
      </c>
      <c r="N416" s="4">
        <v>1</v>
      </c>
      <c r="O416" s="2" t="s">
        <v>29</v>
      </c>
      <c r="P416" s="4">
        <v>2014</v>
      </c>
      <c r="Q416" t="str">
        <f>IF(Table1[[#This Row],[UnitsSold]]&gt;3000,"Large",IF(Table1[[#This Row],[UnitsSold]]&gt;1500,"Midium","Small"))</f>
        <v>Midium</v>
      </c>
    </row>
    <row r="417" spans="1:17" x14ac:dyDescent="0.3">
      <c r="A417" s="2" t="s">
        <v>7</v>
      </c>
      <c r="B417" s="2" t="s">
        <v>67</v>
      </c>
      <c r="C417" s="2" t="s">
        <v>70</v>
      </c>
      <c r="D417" s="2" t="s">
        <v>506</v>
      </c>
      <c r="E417" s="4">
        <v>3675</v>
      </c>
      <c r="F417" s="7" t="s">
        <v>71</v>
      </c>
      <c r="G417" s="7">
        <v>15</v>
      </c>
      <c r="H417" s="7" t="s">
        <v>987</v>
      </c>
      <c r="I417" s="7" t="s">
        <v>988</v>
      </c>
      <c r="J417" s="7">
        <v>50163.75</v>
      </c>
      <c r="K417" s="7" t="s">
        <v>989</v>
      </c>
      <c r="L417" s="7">
        <v>13413.75</v>
      </c>
      <c r="M417" s="1">
        <v>41730</v>
      </c>
      <c r="N417" s="4">
        <v>4</v>
      </c>
      <c r="O417" s="2" t="s">
        <v>117</v>
      </c>
      <c r="P417" s="4">
        <v>2014</v>
      </c>
      <c r="Q417" t="str">
        <f>IF(Table1[[#This Row],[UnitsSold]]&gt;3000,"Large",IF(Table1[[#This Row],[UnitsSold]]&gt;1500,"Midium","Small"))</f>
        <v>Large</v>
      </c>
    </row>
    <row r="418" spans="1:17" x14ac:dyDescent="0.3">
      <c r="A418" s="2" t="s">
        <v>57</v>
      </c>
      <c r="B418" s="2" t="s">
        <v>5</v>
      </c>
      <c r="C418" s="2" t="s">
        <v>70</v>
      </c>
      <c r="D418" s="2" t="s">
        <v>506</v>
      </c>
      <c r="E418" s="4">
        <v>1094</v>
      </c>
      <c r="F418" s="7" t="s">
        <v>71</v>
      </c>
      <c r="G418" s="7">
        <v>300</v>
      </c>
      <c r="H418" s="7" t="s">
        <v>952</v>
      </c>
      <c r="I418" s="7" t="s">
        <v>953</v>
      </c>
      <c r="J418" s="7" t="s">
        <v>1762</v>
      </c>
      <c r="K418" s="7" t="s">
        <v>954</v>
      </c>
      <c r="L418" s="7">
        <v>25162</v>
      </c>
      <c r="M418" s="1">
        <v>41791</v>
      </c>
      <c r="N418" s="4">
        <v>6</v>
      </c>
      <c r="O418" s="2" t="s">
        <v>34</v>
      </c>
      <c r="P418" s="4">
        <v>2014</v>
      </c>
      <c r="Q418" t="str">
        <f>IF(Table1[[#This Row],[UnitsSold]]&gt;3000,"Large",IF(Table1[[#This Row],[UnitsSold]]&gt;1500,"Midium","Small"))</f>
        <v>Small</v>
      </c>
    </row>
    <row r="419" spans="1:17" x14ac:dyDescent="0.3">
      <c r="A419" s="2" t="s">
        <v>7</v>
      </c>
      <c r="B419" s="2" t="s">
        <v>8</v>
      </c>
      <c r="C419" s="2" t="s">
        <v>70</v>
      </c>
      <c r="D419" s="2" t="s">
        <v>506</v>
      </c>
      <c r="E419" s="4">
        <v>1227</v>
      </c>
      <c r="F419" s="7" t="s">
        <v>71</v>
      </c>
      <c r="G419" s="7">
        <v>15</v>
      </c>
      <c r="H419" s="7" t="s">
        <v>990</v>
      </c>
      <c r="I419" s="7" t="s">
        <v>991</v>
      </c>
      <c r="J419" s="7">
        <v>16748.55</v>
      </c>
      <c r="K419" s="7" t="s">
        <v>992</v>
      </c>
      <c r="L419" s="7">
        <v>4478.55</v>
      </c>
      <c r="M419" s="1">
        <v>41913</v>
      </c>
      <c r="N419" s="4">
        <v>10</v>
      </c>
      <c r="O419" s="2" t="s">
        <v>66</v>
      </c>
      <c r="P419" s="4">
        <v>2014</v>
      </c>
      <c r="Q419" t="str">
        <f>IF(Table1[[#This Row],[UnitsSold]]&gt;3000,"Large",IF(Table1[[#This Row],[UnitsSold]]&gt;1500,"Midium","Small"))</f>
        <v>Small</v>
      </c>
    </row>
    <row r="420" spans="1:17" x14ac:dyDescent="0.3">
      <c r="A420" s="2" t="s">
        <v>47</v>
      </c>
      <c r="B420" s="2" t="s">
        <v>9</v>
      </c>
      <c r="C420" s="2" t="s">
        <v>70</v>
      </c>
      <c r="D420" s="2" t="s">
        <v>506</v>
      </c>
      <c r="E420" s="4">
        <v>367</v>
      </c>
      <c r="F420" s="7" t="s">
        <v>71</v>
      </c>
      <c r="G420" s="7">
        <v>12</v>
      </c>
      <c r="H420" s="7" t="s">
        <v>79</v>
      </c>
      <c r="I420" s="7" t="s">
        <v>955</v>
      </c>
      <c r="J420" s="7">
        <v>4007.64</v>
      </c>
      <c r="K420" s="7" t="s">
        <v>80</v>
      </c>
      <c r="L420" s="7">
        <v>2906.64</v>
      </c>
      <c r="M420" s="1">
        <v>41548</v>
      </c>
      <c r="N420" s="4">
        <v>10</v>
      </c>
      <c r="O420" s="2" t="s">
        <v>66</v>
      </c>
      <c r="P420" s="4">
        <v>2013</v>
      </c>
      <c r="Q420" t="str">
        <f>IF(Table1[[#This Row],[UnitsSold]]&gt;3000,"Large",IF(Table1[[#This Row],[UnitsSold]]&gt;1500,"Midium","Small"))</f>
        <v>Small</v>
      </c>
    </row>
    <row r="421" spans="1:17" x14ac:dyDescent="0.3">
      <c r="A421" s="2" t="s">
        <v>57</v>
      </c>
      <c r="B421" s="2" t="s">
        <v>8</v>
      </c>
      <c r="C421" s="2" t="s">
        <v>70</v>
      </c>
      <c r="D421" s="2" t="s">
        <v>506</v>
      </c>
      <c r="E421" s="4">
        <v>1324</v>
      </c>
      <c r="F421" s="7" t="s">
        <v>71</v>
      </c>
      <c r="G421" s="7">
        <v>300</v>
      </c>
      <c r="H421" s="7" t="s">
        <v>993</v>
      </c>
      <c r="I421" s="7" t="s">
        <v>994</v>
      </c>
      <c r="J421" s="7" t="s">
        <v>1769</v>
      </c>
      <c r="K421" s="7" t="s">
        <v>995</v>
      </c>
      <c r="L421" s="7">
        <v>30452</v>
      </c>
      <c r="M421" s="1">
        <v>41944</v>
      </c>
      <c r="N421" s="4">
        <v>11</v>
      </c>
      <c r="O421" s="2" t="s">
        <v>94</v>
      </c>
      <c r="P421" s="4">
        <v>2014</v>
      </c>
      <c r="Q421" t="str">
        <f>IF(Table1[[#This Row],[UnitsSold]]&gt;3000,"Large",IF(Table1[[#This Row],[UnitsSold]]&gt;1500,"Midium","Small"))</f>
        <v>Small</v>
      </c>
    </row>
    <row r="422" spans="1:17" x14ac:dyDescent="0.3">
      <c r="A422" s="2" t="s">
        <v>47</v>
      </c>
      <c r="B422" s="2" t="s">
        <v>6</v>
      </c>
      <c r="C422" s="2" t="s">
        <v>70</v>
      </c>
      <c r="D422" s="2" t="s">
        <v>506</v>
      </c>
      <c r="E422" s="4">
        <v>1775</v>
      </c>
      <c r="F422" s="7" t="s">
        <v>71</v>
      </c>
      <c r="G422" s="7">
        <v>12</v>
      </c>
      <c r="H422" s="7" t="s">
        <v>996</v>
      </c>
      <c r="I422" s="7" t="s">
        <v>997</v>
      </c>
      <c r="J422" s="7">
        <v>19383</v>
      </c>
      <c r="K422" s="7" t="s">
        <v>998</v>
      </c>
      <c r="L422" s="7">
        <v>14058</v>
      </c>
      <c r="M422" s="1">
        <v>41579</v>
      </c>
      <c r="N422" s="4">
        <v>11</v>
      </c>
      <c r="O422" s="2" t="s">
        <v>94</v>
      </c>
      <c r="P422" s="4">
        <v>2013</v>
      </c>
      <c r="Q422" t="str">
        <f>IF(Table1[[#This Row],[UnitsSold]]&gt;3000,"Large",IF(Table1[[#This Row],[UnitsSold]]&gt;1500,"Midium","Small"))</f>
        <v>Midium</v>
      </c>
    </row>
    <row r="423" spans="1:17" x14ac:dyDescent="0.3">
      <c r="A423" s="2" t="s">
        <v>10</v>
      </c>
      <c r="B423" s="2" t="s">
        <v>67</v>
      </c>
      <c r="C423" s="2" t="s">
        <v>70</v>
      </c>
      <c r="D423" s="2" t="s">
        <v>506</v>
      </c>
      <c r="E423" s="4">
        <v>2797</v>
      </c>
      <c r="F423" s="7" t="s">
        <v>71</v>
      </c>
      <c r="G423" s="7">
        <v>125</v>
      </c>
      <c r="H423" s="7" t="s">
        <v>974</v>
      </c>
      <c r="I423" s="7" t="s">
        <v>975</v>
      </c>
      <c r="J423" s="7" t="s">
        <v>1766</v>
      </c>
      <c r="K423" s="7" t="s">
        <v>976</v>
      </c>
      <c r="L423" s="7">
        <v>17481.25</v>
      </c>
      <c r="M423" s="1">
        <v>41974</v>
      </c>
      <c r="N423" s="4">
        <v>12</v>
      </c>
      <c r="O423" s="2" t="s">
        <v>41</v>
      </c>
      <c r="P423" s="4">
        <v>2014</v>
      </c>
      <c r="Q423" t="str">
        <f>IF(Table1[[#This Row],[UnitsSold]]&gt;3000,"Large",IF(Table1[[#This Row],[UnitsSold]]&gt;1500,"Midium","Small"))</f>
        <v>Midium</v>
      </c>
    </row>
    <row r="424" spans="1:17" x14ac:dyDescent="0.3">
      <c r="A424" s="2" t="s">
        <v>7</v>
      </c>
      <c r="B424" s="2" t="s">
        <v>9</v>
      </c>
      <c r="C424" s="2" t="s">
        <v>101</v>
      </c>
      <c r="D424" s="2" t="s">
        <v>506</v>
      </c>
      <c r="E424" s="4">
        <v>245</v>
      </c>
      <c r="F424" s="7" t="s">
        <v>102</v>
      </c>
      <c r="G424" s="7">
        <v>15</v>
      </c>
      <c r="H424" s="7" t="s">
        <v>986</v>
      </c>
      <c r="I424" s="7" t="s">
        <v>999</v>
      </c>
      <c r="J424" s="7">
        <v>3344.25</v>
      </c>
      <c r="K424" s="7" t="s">
        <v>1000</v>
      </c>
      <c r="L424" s="7">
        <v>894.25</v>
      </c>
      <c r="M424" s="1">
        <v>41760</v>
      </c>
      <c r="N424" s="4">
        <v>5</v>
      </c>
      <c r="O424" s="2" t="s">
        <v>145</v>
      </c>
      <c r="P424" s="4">
        <v>2014</v>
      </c>
      <c r="Q424" t="str">
        <f>IF(Table1[[#This Row],[UnitsSold]]&gt;3000,"Large",IF(Table1[[#This Row],[UnitsSold]]&gt;1500,"Midium","Small"))</f>
        <v>Small</v>
      </c>
    </row>
    <row r="425" spans="1:17" x14ac:dyDescent="0.3">
      <c r="A425" s="2" t="s">
        <v>57</v>
      </c>
      <c r="B425" s="2" t="s">
        <v>5</v>
      </c>
      <c r="C425" s="2" t="s">
        <v>101</v>
      </c>
      <c r="D425" s="2" t="s">
        <v>506</v>
      </c>
      <c r="E425" s="4">
        <v>3793.5</v>
      </c>
      <c r="F425" s="7" t="s">
        <v>102</v>
      </c>
      <c r="G425" s="7">
        <v>300</v>
      </c>
      <c r="H425" s="7" t="s">
        <v>1001</v>
      </c>
      <c r="I425" s="7" t="s">
        <v>1002</v>
      </c>
      <c r="J425" s="7" t="s">
        <v>1770</v>
      </c>
      <c r="K425" s="7" t="s">
        <v>1003</v>
      </c>
      <c r="L425" s="7">
        <v>87250.5</v>
      </c>
      <c r="M425" s="1">
        <v>41821</v>
      </c>
      <c r="N425" s="4">
        <v>7</v>
      </c>
      <c r="O425" s="2" t="s">
        <v>56</v>
      </c>
      <c r="P425" s="4">
        <v>2014</v>
      </c>
      <c r="Q425" t="str">
        <f>IF(Table1[[#This Row],[UnitsSold]]&gt;3000,"Large",IF(Table1[[#This Row],[UnitsSold]]&gt;1500,"Midium","Small"))</f>
        <v>Large</v>
      </c>
    </row>
    <row r="426" spans="1:17" x14ac:dyDescent="0.3">
      <c r="A426" s="2" t="s">
        <v>4</v>
      </c>
      <c r="B426" s="2" t="s">
        <v>6</v>
      </c>
      <c r="C426" s="2" t="s">
        <v>101</v>
      </c>
      <c r="D426" s="2" t="s">
        <v>506</v>
      </c>
      <c r="E426" s="4">
        <v>1307</v>
      </c>
      <c r="F426" s="7" t="s">
        <v>102</v>
      </c>
      <c r="G426" s="7">
        <v>350</v>
      </c>
      <c r="H426" s="7" t="s">
        <v>1004</v>
      </c>
      <c r="I426" s="7" t="s">
        <v>1005</v>
      </c>
      <c r="J426" s="7" t="s">
        <v>1771</v>
      </c>
      <c r="K426" s="7" t="s">
        <v>1006</v>
      </c>
      <c r="L426" s="7">
        <v>76459.5</v>
      </c>
      <c r="M426" s="1">
        <v>41821</v>
      </c>
      <c r="N426" s="4">
        <v>7</v>
      </c>
      <c r="O426" s="2" t="s">
        <v>56</v>
      </c>
      <c r="P426" s="4">
        <v>2014</v>
      </c>
      <c r="Q426" t="str">
        <f>IF(Table1[[#This Row],[UnitsSold]]&gt;3000,"Large",IF(Table1[[#This Row],[UnitsSold]]&gt;1500,"Midium","Small"))</f>
        <v>Small</v>
      </c>
    </row>
    <row r="427" spans="1:17" x14ac:dyDescent="0.3">
      <c r="A427" s="2" t="s">
        <v>10</v>
      </c>
      <c r="B427" s="2" t="s">
        <v>5</v>
      </c>
      <c r="C427" s="2" t="s">
        <v>101</v>
      </c>
      <c r="D427" s="2" t="s">
        <v>506</v>
      </c>
      <c r="E427" s="4">
        <v>567</v>
      </c>
      <c r="F427" s="7" t="s">
        <v>102</v>
      </c>
      <c r="G427" s="7">
        <v>125</v>
      </c>
      <c r="H427" s="7" t="s">
        <v>1007</v>
      </c>
      <c r="I427" s="7" t="s">
        <v>1008</v>
      </c>
      <c r="J427" s="7">
        <v>64496.25</v>
      </c>
      <c r="K427" s="7" t="s">
        <v>1009</v>
      </c>
      <c r="L427" s="7">
        <v>3543.75</v>
      </c>
      <c r="M427" s="1">
        <v>41883</v>
      </c>
      <c r="N427" s="4">
        <v>9</v>
      </c>
      <c r="O427" s="2" t="s">
        <v>63</v>
      </c>
      <c r="P427" s="4">
        <v>2014</v>
      </c>
      <c r="Q427" t="str">
        <f>IF(Table1[[#This Row],[UnitsSold]]&gt;3000,"Large",IF(Table1[[#This Row],[UnitsSold]]&gt;1500,"Midium","Small"))</f>
        <v>Small</v>
      </c>
    </row>
    <row r="428" spans="1:17" x14ac:dyDescent="0.3">
      <c r="A428" s="2" t="s">
        <v>10</v>
      </c>
      <c r="B428" s="2" t="s">
        <v>9</v>
      </c>
      <c r="C428" s="2" t="s">
        <v>101</v>
      </c>
      <c r="D428" s="2" t="s">
        <v>506</v>
      </c>
      <c r="E428" s="4">
        <v>2110</v>
      </c>
      <c r="F428" s="7" t="s">
        <v>102</v>
      </c>
      <c r="G428" s="7">
        <v>125</v>
      </c>
      <c r="H428" s="7" t="s">
        <v>1010</v>
      </c>
      <c r="I428" s="7" t="s">
        <v>1011</v>
      </c>
      <c r="J428" s="7" t="s">
        <v>1772</v>
      </c>
      <c r="K428" s="7" t="s">
        <v>1012</v>
      </c>
      <c r="L428" s="7">
        <v>13187.5</v>
      </c>
      <c r="M428" s="1">
        <v>41883</v>
      </c>
      <c r="N428" s="4">
        <v>9</v>
      </c>
      <c r="O428" s="2" t="s">
        <v>63</v>
      </c>
      <c r="P428" s="4">
        <v>2014</v>
      </c>
      <c r="Q428" t="str">
        <f>IF(Table1[[#This Row],[UnitsSold]]&gt;3000,"Large",IF(Table1[[#This Row],[UnitsSold]]&gt;1500,"Midium","Small"))</f>
        <v>Midium</v>
      </c>
    </row>
    <row r="429" spans="1:17" x14ac:dyDescent="0.3">
      <c r="A429" s="2" t="s">
        <v>4</v>
      </c>
      <c r="B429" s="2" t="s">
        <v>5</v>
      </c>
      <c r="C429" s="2" t="s">
        <v>101</v>
      </c>
      <c r="D429" s="2" t="s">
        <v>506</v>
      </c>
      <c r="E429" s="4">
        <v>1269</v>
      </c>
      <c r="F429" s="7" t="s">
        <v>102</v>
      </c>
      <c r="G429" s="7">
        <v>350</v>
      </c>
      <c r="H429" s="7" t="s">
        <v>1013</v>
      </c>
      <c r="I429" s="7" t="s">
        <v>1014</v>
      </c>
      <c r="J429" s="7" t="s">
        <v>1773</v>
      </c>
      <c r="K429" s="7" t="s">
        <v>1015</v>
      </c>
      <c r="L429" s="7">
        <v>74236.5</v>
      </c>
      <c r="M429" s="1">
        <v>41913</v>
      </c>
      <c r="N429" s="4">
        <v>10</v>
      </c>
      <c r="O429" s="2" t="s">
        <v>66</v>
      </c>
      <c r="P429" s="4">
        <v>2014</v>
      </c>
      <c r="Q429" t="str">
        <f>IF(Table1[[#This Row],[UnitsSold]]&gt;3000,"Large",IF(Table1[[#This Row],[UnitsSold]]&gt;1500,"Midium","Small"))</f>
        <v>Small</v>
      </c>
    </row>
    <row r="430" spans="1:17" x14ac:dyDescent="0.3">
      <c r="A430" s="2" t="s">
        <v>47</v>
      </c>
      <c r="B430" s="2" t="s">
        <v>67</v>
      </c>
      <c r="C430" s="2" t="s">
        <v>111</v>
      </c>
      <c r="D430" s="2" t="s">
        <v>506</v>
      </c>
      <c r="E430" s="4">
        <v>1956</v>
      </c>
      <c r="F430" s="7" t="s">
        <v>112</v>
      </c>
      <c r="G430" s="7">
        <v>12</v>
      </c>
      <c r="H430" s="7" t="s">
        <v>1016</v>
      </c>
      <c r="I430" s="7" t="s">
        <v>1017</v>
      </c>
      <c r="J430" s="7">
        <v>21359.52</v>
      </c>
      <c r="K430" s="7" t="s">
        <v>1018</v>
      </c>
      <c r="L430" s="7">
        <v>15491.52</v>
      </c>
      <c r="M430" s="1">
        <v>41640</v>
      </c>
      <c r="N430" s="4">
        <v>1</v>
      </c>
      <c r="O430" s="2" t="s">
        <v>29</v>
      </c>
      <c r="P430" s="4">
        <v>2014</v>
      </c>
      <c r="Q430" t="str">
        <f>IF(Table1[[#This Row],[UnitsSold]]&gt;3000,"Large",IF(Table1[[#This Row],[UnitsSold]]&gt;1500,"Midium","Small"))</f>
        <v>Midium</v>
      </c>
    </row>
    <row r="431" spans="1:17" x14ac:dyDescent="0.3">
      <c r="A431" s="2" t="s">
        <v>57</v>
      </c>
      <c r="B431" s="2" t="s">
        <v>6</v>
      </c>
      <c r="C431" s="2" t="s">
        <v>111</v>
      </c>
      <c r="D431" s="2" t="s">
        <v>506</v>
      </c>
      <c r="E431" s="4">
        <v>2659</v>
      </c>
      <c r="F431" s="7" t="s">
        <v>112</v>
      </c>
      <c r="G431" s="7">
        <v>300</v>
      </c>
      <c r="H431" s="7" t="s">
        <v>1019</v>
      </c>
      <c r="I431" s="7" t="s">
        <v>1020</v>
      </c>
      <c r="J431" s="7" t="s">
        <v>1774</v>
      </c>
      <c r="K431" s="7" t="s">
        <v>1021</v>
      </c>
      <c r="L431" s="7">
        <v>61157</v>
      </c>
      <c r="M431" s="1">
        <v>41671</v>
      </c>
      <c r="N431" s="4">
        <v>2</v>
      </c>
      <c r="O431" s="2" t="s">
        <v>74</v>
      </c>
      <c r="P431" s="4">
        <v>2014</v>
      </c>
      <c r="Q431" t="str">
        <f>IF(Table1[[#This Row],[UnitsSold]]&gt;3000,"Large",IF(Table1[[#This Row],[UnitsSold]]&gt;1500,"Midium","Small"))</f>
        <v>Midium</v>
      </c>
    </row>
    <row r="432" spans="1:17" x14ac:dyDescent="0.3">
      <c r="A432" s="2" t="s">
        <v>4</v>
      </c>
      <c r="B432" s="2" t="s">
        <v>67</v>
      </c>
      <c r="C432" s="2" t="s">
        <v>111</v>
      </c>
      <c r="D432" s="2" t="s">
        <v>506</v>
      </c>
      <c r="E432" s="4">
        <v>1351.5</v>
      </c>
      <c r="F432" s="7" t="s">
        <v>112</v>
      </c>
      <c r="G432" s="7">
        <v>350</v>
      </c>
      <c r="H432" s="7" t="s">
        <v>1022</v>
      </c>
      <c r="I432" s="7" t="s">
        <v>1023</v>
      </c>
      <c r="J432" s="7" t="s">
        <v>1775</v>
      </c>
      <c r="K432" s="7" t="s">
        <v>1024</v>
      </c>
      <c r="L432" s="7">
        <v>79062.75</v>
      </c>
      <c r="M432" s="1">
        <v>41730</v>
      </c>
      <c r="N432" s="4">
        <v>4</v>
      </c>
      <c r="O432" s="2" t="s">
        <v>117</v>
      </c>
      <c r="P432" s="4">
        <v>2014</v>
      </c>
      <c r="Q432" t="str">
        <f>IF(Table1[[#This Row],[UnitsSold]]&gt;3000,"Large",IF(Table1[[#This Row],[UnitsSold]]&gt;1500,"Midium","Small"))</f>
        <v>Small</v>
      </c>
    </row>
    <row r="433" spans="1:17" x14ac:dyDescent="0.3">
      <c r="A433" s="2" t="s">
        <v>47</v>
      </c>
      <c r="B433" s="2" t="s">
        <v>6</v>
      </c>
      <c r="C433" s="2" t="s">
        <v>111</v>
      </c>
      <c r="D433" s="2" t="s">
        <v>506</v>
      </c>
      <c r="E433" s="4">
        <v>880</v>
      </c>
      <c r="F433" s="7" t="s">
        <v>112</v>
      </c>
      <c r="G433" s="7">
        <v>12</v>
      </c>
      <c r="H433" s="7" t="s">
        <v>474</v>
      </c>
      <c r="I433" s="7" t="s">
        <v>1025</v>
      </c>
      <c r="J433" s="7">
        <v>9609.6</v>
      </c>
      <c r="K433" s="7" t="s">
        <v>1026</v>
      </c>
      <c r="L433" s="7">
        <v>6969.6</v>
      </c>
      <c r="M433" s="1">
        <v>41760</v>
      </c>
      <c r="N433" s="4">
        <v>5</v>
      </c>
      <c r="O433" s="2" t="s">
        <v>145</v>
      </c>
      <c r="P433" s="4">
        <v>2014</v>
      </c>
      <c r="Q433" t="str">
        <f>IF(Table1[[#This Row],[UnitsSold]]&gt;3000,"Large",IF(Table1[[#This Row],[UnitsSold]]&gt;1500,"Midium","Small"))</f>
        <v>Small</v>
      </c>
    </row>
    <row r="434" spans="1:17" x14ac:dyDescent="0.3">
      <c r="A434" s="2" t="s">
        <v>57</v>
      </c>
      <c r="B434" s="2" t="s">
        <v>67</v>
      </c>
      <c r="C434" s="2" t="s">
        <v>111</v>
      </c>
      <c r="D434" s="2" t="s">
        <v>506</v>
      </c>
      <c r="E434" s="4">
        <v>1867</v>
      </c>
      <c r="F434" s="7" t="s">
        <v>112</v>
      </c>
      <c r="G434" s="7">
        <v>300</v>
      </c>
      <c r="H434" s="7" t="s">
        <v>1027</v>
      </c>
      <c r="I434" s="7" t="s">
        <v>1028</v>
      </c>
      <c r="J434" s="7" t="s">
        <v>1776</v>
      </c>
      <c r="K434" s="7" t="s">
        <v>1029</v>
      </c>
      <c r="L434" s="7">
        <v>42941</v>
      </c>
      <c r="M434" s="1">
        <v>41883</v>
      </c>
      <c r="N434" s="4">
        <v>9</v>
      </c>
      <c r="O434" s="2" t="s">
        <v>63</v>
      </c>
      <c r="P434" s="4">
        <v>2014</v>
      </c>
      <c r="Q434" t="str">
        <f>IF(Table1[[#This Row],[UnitsSold]]&gt;3000,"Large",IF(Table1[[#This Row],[UnitsSold]]&gt;1500,"Midium","Small"))</f>
        <v>Midium</v>
      </c>
    </row>
    <row r="435" spans="1:17" x14ac:dyDescent="0.3">
      <c r="A435" s="2" t="s">
        <v>47</v>
      </c>
      <c r="B435" s="2" t="s">
        <v>8</v>
      </c>
      <c r="C435" s="2" t="s">
        <v>111</v>
      </c>
      <c r="D435" s="2" t="s">
        <v>506</v>
      </c>
      <c r="E435" s="4">
        <v>2234</v>
      </c>
      <c r="F435" s="7" t="s">
        <v>112</v>
      </c>
      <c r="G435" s="7">
        <v>12</v>
      </c>
      <c r="H435" s="7" t="s">
        <v>1030</v>
      </c>
      <c r="I435" s="7" t="s">
        <v>1031</v>
      </c>
      <c r="J435" s="7">
        <v>24395.279999999999</v>
      </c>
      <c r="K435" s="7" t="s">
        <v>1032</v>
      </c>
      <c r="L435" s="7">
        <v>17693.28</v>
      </c>
      <c r="M435" s="1">
        <v>41518</v>
      </c>
      <c r="N435" s="4">
        <v>9</v>
      </c>
      <c r="O435" s="2" t="s">
        <v>63</v>
      </c>
      <c r="P435" s="4">
        <v>2013</v>
      </c>
      <c r="Q435" t="str">
        <f>IF(Table1[[#This Row],[UnitsSold]]&gt;3000,"Large",IF(Table1[[#This Row],[UnitsSold]]&gt;1500,"Midium","Small"))</f>
        <v>Midium</v>
      </c>
    </row>
    <row r="436" spans="1:17" x14ac:dyDescent="0.3">
      <c r="A436" s="2" t="s">
        <v>7</v>
      </c>
      <c r="B436" s="2" t="s">
        <v>8</v>
      </c>
      <c r="C436" s="2" t="s">
        <v>111</v>
      </c>
      <c r="D436" s="2" t="s">
        <v>506</v>
      </c>
      <c r="E436" s="4">
        <v>1227</v>
      </c>
      <c r="F436" s="7" t="s">
        <v>112</v>
      </c>
      <c r="G436" s="7">
        <v>15</v>
      </c>
      <c r="H436" s="7" t="s">
        <v>990</v>
      </c>
      <c r="I436" s="7" t="s">
        <v>991</v>
      </c>
      <c r="J436" s="7">
        <v>16748.55</v>
      </c>
      <c r="K436" s="7" t="s">
        <v>992</v>
      </c>
      <c r="L436" s="7">
        <v>4478.55</v>
      </c>
      <c r="M436" s="1">
        <v>41913</v>
      </c>
      <c r="N436" s="4">
        <v>10</v>
      </c>
      <c r="O436" s="2" t="s">
        <v>66</v>
      </c>
      <c r="P436" s="4">
        <v>2014</v>
      </c>
      <c r="Q436" t="str">
        <f>IF(Table1[[#This Row],[UnitsSold]]&gt;3000,"Large",IF(Table1[[#This Row],[UnitsSold]]&gt;1500,"Midium","Small"))</f>
        <v>Small</v>
      </c>
    </row>
    <row r="437" spans="1:17" x14ac:dyDescent="0.3">
      <c r="A437" s="2" t="s">
        <v>10</v>
      </c>
      <c r="B437" s="2" t="s">
        <v>9</v>
      </c>
      <c r="C437" s="2" t="s">
        <v>111</v>
      </c>
      <c r="D437" s="2" t="s">
        <v>506</v>
      </c>
      <c r="E437" s="4">
        <v>877</v>
      </c>
      <c r="F437" s="7" t="s">
        <v>112</v>
      </c>
      <c r="G437" s="7">
        <v>125</v>
      </c>
      <c r="H437" s="7" t="s">
        <v>1033</v>
      </c>
      <c r="I437" s="7" t="s">
        <v>1034</v>
      </c>
      <c r="J437" s="7">
        <v>99758.75</v>
      </c>
      <c r="K437" s="7" t="s">
        <v>1035</v>
      </c>
      <c r="L437" s="7">
        <v>5481.25</v>
      </c>
      <c r="M437" s="1">
        <v>41944</v>
      </c>
      <c r="N437" s="4">
        <v>11</v>
      </c>
      <c r="O437" s="2" t="s">
        <v>94</v>
      </c>
      <c r="P437" s="4">
        <v>2014</v>
      </c>
      <c r="Q437" t="str">
        <f>IF(Table1[[#This Row],[UnitsSold]]&gt;3000,"Large",IF(Table1[[#This Row],[UnitsSold]]&gt;1500,"Midium","Small"))</f>
        <v>Small</v>
      </c>
    </row>
    <row r="438" spans="1:17" x14ac:dyDescent="0.3">
      <c r="A438" s="2" t="s">
        <v>4</v>
      </c>
      <c r="B438" s="2" t="s">
        <v>67</v>
      </c>
      <c r="C438" s="2" t="s">
        <v>122</v>
      </c>
      <c r="D438" s="2" t="s">
        <v>506</v>
      </c>
      <c r="E438" s="4">
        <v>2071</v>
      </c>
      <c r="F438" s="7" t="s">
        <v>123</v>
      </c>
      <c r="G438" s="7">
        <v>350</v>
      </c>
      <c r="H438" s="7" t="s">
        <v>1036</v>
      </c>
      <c r="I438" s="7" t="s">
        <v>1037</v>
      </c>
      <c r="J438" s="7" t="s">
        <v>1777</v>
      </c>
      <c r="K438" s="7" t="s">
        <v>1038</v>
      </c>
      <c r="L438" s="7" t="s">
        <v>1891</v>
      </c>
      <c r="M438" s="1">
        <v>41883</v>
      </c>
      <c r="N438" s="4">
        <v>9</v>
      </c>
      <c r="O438" s="2" t="s">
        <v>63</v>
      </c>
      <c r="P438" s="4">
        <v>2014</v>
      </c>
      <c r="Q438" t="str">
        <f>IF(Table1[[#This Row],[UnitsSold]]&gt;3000,"Large",IF(Table1[[#This Row],[UnitsSold]]&gt;1500,"Midium","Small"))</f>
        <v>Midium</v>
      </c>
    </row>
    <row r="439" spans="1:17" x14ac:dyDescent="0.3">
      <c r="A439" s="2" t="s">
        <v>4</v>
      </c>
      <c r="B439" s="2" t="s">
        <v>5</v>
      </c>
      <c r="C439" s="2" t="s">
        <v>122</v>
      </c>
      <c r="D439" s="2" t="s">
        <v>506</v>
      </c>
      <c r="E439" s="4">
        <v>1269</v>
      </c>
      <c r="F439" s="7" t="s">
        <v>123</v>
      </c>
      <c r="G439" s="7">
        <v>350</v>
      </c>
      <c r="H439" s="7" t="s">
        <v>1013</v>
      </c>
      <c r="I439" s="7" t="s">
        <v>1014</v>
      </c>
      <c r="J439" s="7" t="s">
        <v>1773</v>
      </c>
      <c r="K439" s="7" t="s">
        <v>1015</v>
      </c>
      <c r="L439" s="7">
        <v>74236.5</v>
      </c>
      <c r="M439" s="1">
        <v>41913</v>
      </c>
      <c r="N439" s="4">
        <v>10</v>
      </c>
      <c r="O439" s="2" t="s">
        <v>66</v>
      </c>
      <c r="P439" s="4">
        <v>2014</v>
      </c>
      <c r="Q439" t="str">
        <f>IF(Table1[[#This Row],[UnitsSold]]&gt;3000,"Large",IF(Table1[[#This Row],[UnitsSold]]&gt;1500,"Midium","Small"))</f>
        <v>Small</v>
      </c>
    </row>
    <row r="440" spans="1:17" x14ac:dyDescent="0.3">
      <c r="A440" s="2" t="s">
        <v>7</v>
      </c>
      <c r="B440" s="2" t="s">
        <v>6</v>
      </c>
      <c r="C440" s="2" t="s">
        <v>122</v>
      </c>
      <c r="D440" s="2" t="s">
        <v>506</v>
      </c>
      <c r="E440" s="4">
        <v>970</v>
      </c>
      <c r="F440" s="7" t="s">
        <v>123</v>
      </c>
      <c r="G440" s="7">
        <v>15</v>
      </c>
      <c r="H440" s="7" t="s">
        <v>1039</v>
      </c>
      <c r="I440" s="7" t="s">
        <v>1040</v>
      </c>
      <c r="J440" s="7">
        <v>13240.5</v>
      </c>
      <c r="K440" s="7" t="s">
        <v>1041</v>
      </c>
      <c r="L440" s="7">
        <v>3540.5</v>
      </c>
      <c r="M440" s="1">
        <v>41579</v>
      </c>
      <c r="N440" s="4">
        <v>11</v>
      </c>
      <c r="O440" s="2" t="s">
        <v>94</v>
      </c>
      <c r="P440" s="4">
        <v>2013</v>
      </c>
      <c r="Q440" t="str">
        <f>IF(Table1[[#This Row],[UnitsSold]]&gt;3000,"Large",IF(Table1[[#This Row],[UnitsSold]]&gt;1500,"Midium","Small"))</f>
        <v>Small</v>
      </c>
    </row>
    <row r="441" spans="1:17" x14ac:dyDescent="0.3">
      <c r="A441" s="2" t="s">
        <v>4</v>
      </c>
      <c r="B441" s="2" t="s">
        <v>9</v>
      </c>
      <c r="C441" s="2" t="s">
        <v>122</v>
      </c>
      <c r="D441" s="2" t="s">
        <v>506</v>
      </c>
      <c r="E441" s="4">
        <v>1694</v>
      </c>
      <c r="F441" s="7" t="s">
        <v>123</v>
      </c>
      <c r="G441" s="7">
        <v>20</v>
      </c>
      <c r="H441" s="7" t="s">
        <v>1042</v>
      </c>
      <c r="I441" s="7" t="s">
        <v>1043</v>
      </c>
      <c r="J441" s="7">
        <v>30830.799999999999</v>
      </c>
      <c r="K441" s="7" t="s">
        <v>1044</v>
      </c>
      <c r="L441" s="7">
        <v>13890.8</v>
      </c>
      <c r="M441" s="1">
        <v>41944</v>
      </c>
      <c r="N441" s="4">
        <v>11</v>
      </c>
      <c r="O441" s="2" t="s">
        <v>94</v>
      </c>
      <c r="P441" s="4">
        <v>2014</v>
      </c>
      <c r="Q441" t="str">
        <f>IF(Table1[[#This Row],[UnitsSold]]&gt;3000,"Large",IF(Table1[[#This Row],[UnitsSold]]&gt;1500,"Midium","Small"))</f>
        <v>Midium</v>
      </c>
    </row>
    <row r="442" spans="1:17" x14ac:dyDescent="0.3">
      <c r="A442" s="2" t="s">
        <v>4</v>
      </c>
      <c r="B442" s="2" t="s">
        <v>6</v>
      </c>
      <c r="C442" s="2" t="s">
        <v>23</v>
      </c>
      <c r="D442" s="2" t="s">
        <v>506</v>
      </c>
      <c r="E442" s="4">
        <v>663</v>
      </c>
      <c r="F442" s="7" t="s">
        <v>25</v>
      </c>
      <c r="G442" s="7">
        <v>20</v>
      </c>
      <c r="H442" s="7" t="s">
        <v>1045</v>
      </c>
      <c r="I442" s="7" t="s">
        <v>1046</v>
      </c>
      <c r="J442" s="7">
        <v>12066.6</v>
      </c>
      <c r="K442" s="7" t="s">
        <v>151</v>
      </c>
      <c r="L442" s="7">
        <v>5436.6</v>
      </c>
      <c r="M442" s="1">
        <v>41760</v>
      </c>
      <c r="N442" s="4">
        <v>5</v>
      </c>
      <c r="O442" s="2" t="s">
        <v>145</v>
      </c>
      <c r="P442" s="4">
        <v>2014</v>
      </c>
      <c r="Q442" t="str">
        <f>IF(Table1[[#This Row],[UnitsSold]]&gt;3000,"Large",IF(Table1[[#This Row],[UnitsSold]]&gt;1500,"Midium","Small"))</f>
        <v>Small</v>
      </c>
    </row>
    <row r="443" spans="1:17" x14ac:dyDescent="0.3">
      <c r="A443" s="2" t="s">
        <v>4</v>
      </c>
      <c r="B443" s="2" t="s">
        <v>5</v>
      </c>
      <c r="C443" s="2" t="s">
        <v>23</v>
      </c>
      <c r="D443" s="2" t="s">
        <v>506</v>
      </c>
      <c r="E443" s="4">
        <v>819</v>
      </c>
      <c r="F443" s="7" t="s">
        <v>25</v>
      </c>
      <c r="G443" s="7">
        <v>7</v>
      </c>
      <c r="H443" s="7" t="s">
        <v>1047</v>
      </c>
      <c r="I443" s="7" t="s">
        <v>1048</v>
      </c>
      <c r="J443" s="7">
        <v>5217.03</v>
      </c>
      <c r="K443" s="7" t="s">
        <v>1049</v>
      </c>
      <c r="L443" s="7">
        <v>1122.03</v>
      </c>
      <c r="M443" s="1">
        <v>41821</v>
      </c>
      <c r="N443" s="4">
        <v>7</v>
      </c>
      <c r="O443" s="2" t="s">
        <v>56</v>
      </c>
      <c r="P443" s="4">
        <v>2014</v>
      </c>
      <c r="Q443" t="str">
        <f>IF(Table1[[#This Row],[UnitsSold]]&gt;3000,"Large",IF(Table1[[#This Row],[UnitsSold]]&gt;1500,"Midium","Small"))</f>
        <v>Small</v>
      </c>
    </row>
    <row r="444" spans="1:17" x14ac:dyDescent="0.3">
      <c r="A444" s="2" t="s">
        <v>47</v>
      </c>
      <c r="B444" s="2" t="s">
        <v>6</v>
      </c>
      <c r="C444" s="2" t="s">
        <v>23</v>
      </c>
      <c r="D444" s="2" t="s">
        <v>506</v>
      </c>
      <c r="E444" s="4">
        <v>1580</v>
      </c>
      <c r="F444" s="7" t="s">
        <v>25</v>
      </c>
      <c r="G444" s="7">
        <v>12</v>
      </c>
      <c r="H444" s="7" t="s">
        <v>1050</v>
      </c>
      <c r="I444" s="7" t="s">
        <v>1051</v>
      </c>
      <c r="J444" s="7">
        <v>17253.599999999999</v>
      </c>
      <c r="K444" s="7" t="s">
        <v>1052</v>
      </c>
      <c r="L444" s="7">
        <v>12513.6</v>
      </c>
      <c r="M444" s="1">
        <v>41883</v>
      </c>
      <c r="N444" s="4">
        <v>9</v>
      </c>
      <c r="O444" s="2" t="s">
        <v>63</v>
      </c>
      <c r="P444" s="4">
        <v>2014</v>
      </c>
      <c r="Q444" t="str">
        <f>IF(Table1[[#This Row],[UnitsSold]]&gt;3000,"Large",IF(Table1[[#This Row],[UnitsSold]]&gt;1500,"Midium","Small"))</f>
        <v>Midium</v>
      </c>
    </row>
    <row r="445" spans="1:17" x14ac:dyDescent="0.3">
      <c r="A445" s="2" t="s">
        <v>4</v>
      </c>
      <c r="B445" s="2" t="s">
        <v>9</v>
      </c>
      <c r="C445" s="2" t="s">
        <v>23</v>
      </c>
      <c r="D445" s="2" t="s">
        <v>506</v>
      </c>
      <c r="E445" s="4">
        <v>521</v>
      </c>
      <c r="F445" s="7" t="s">
        <v>25</v>
      </c>
      <c r="G445" s="7">
        <v>7</v>
      </c>
      <c r="H445" s="7" t="s">
        <v>1053</v>
      </c>
      <c r="I445" s="7" t="s">
        <v>1054</v>
      </c>
      <c r="J445" s="7">
        <v>3318.77</v>
      </c>
      <c r="K445" s="7" t="s">
        <v>1055</v>
      </c>
      <c r="L445" s="7">
        <v>713.77</v>
      </c>
      <c r="M445" s="1">
        <v>41974</v>
      </c>
      <c r="N445" s="4">
        <v>12</v>
      </c>
      <c r="O445" s="2" t="s">
        <v>41</v>
      </c>
      <c r="P445" s="4">
        <v>2014</v>
      </c>
      <c r="Q445" t="str">
        <f>IF(Table1[[#This Row],[UnitsSold]]&gt;3000,"Large",IF(Table1[[#This Row],[UnitsSold]]&gt;1500,"Midium","Small"))</f>
        <v>Small</v>
      </c>
    </row>
    <row r="446" spans="1:17" x14ac:dyDescent="0.3">
      <c r="A446" s="2" t="s">
        <v>4</v>
      </c>
      <c r="B446" s="2" t="s">
        <v>67</v>
      </c>
      <c r="C446" s="2" t="s">
        <v>70</v>
      </c>
      <c r="D446" s="2" t="s">
        <v>506</v>
      </c>
      <c r="E446" s="4">
        <v>973</v>
      </c>
      <c r="F446" s="7" t="s">
        <v>71</v>
      </c>
      <c r="G446" s="7">
        <v>20</v>
      </c>
      <c r="H446" s="7" t="s">
        <v>1056</v>
      </c>
      <c r="I446" s="7" t="s">
        <v>1057</v>
      </c>
      <c r="J446" s="7">
        <v>17708.599999999999</v>
      </c>
      <c r="K446" s="7" t="s">
        <v>913</v>
      </c>
      <c r="L446" s="7">
        <v>7978.6</v>
      </c>
      <c r="M446" s="1">
        <v>41699</v>
      </c>
      <c r="N446" s="4">
        <v>3</v>
      </c>
      <c r="O446" s="2" t="s">
        <v>46</v>
      </c>
      <c r="P446" s="4">
        <v>2014</v>
      </c>
      <c r="Q446" t="str">
        <f>IF(Table1[[#This Row],[UnitsSold]]&gt;3000,"Large",IF(Table1[[#This Row],[UnitsSold]]&gt;1500,"Midium","Small"))</f>
        <v>Small</v>
      </c>
    </row>
    <row r="447" spans="1:17" x14ac:dyDescent="0.3">
      <c r="A447" s="2" t="s">
        <v>4</v>
      </c>
      <c r="B447" s="2" t="s">
        <v>9</v>
      </c>
      <c r="C447" s="2" t="s">
        <v>70</v>
      </c>
      <c r="D447" s="2" t="s">
        <v>506</v>
      </c>
      <c r="E447" s="4">
        <v>1038</v>
      </c>
      <c r="F447" s="7" t="s">
        <v>71</v>
      </c>
      <c r="G447" s="7">
        <v>20</v>
      </c>
      <c r="H447" s="7" t="s">
        <v>1058</v>
      </c>
      <c r="I447" s="7" t="s">
        <v>1059</v>
      </c>
      <c r="J447" s="7">
        <v>18891.599999999999</v>
      </c>
      <c r="K447" s="7" t="s">
        <v>1060</v>
      </c>
      <c r="L447" s="7">
        <v>8511.6</v>
      </c>
      <c r="M447" s="1">
        <v>41791</v>
      </c>
      <c r="N447" s="4">
        <v>6</v>
      </c>
      <c r="O447" s="2" t="s">
        <v>34</v>
      </c>
      <c r="P447" s="4">
        <v>2014</v>
      </c>
      <c r="Q447" t="str">
        <f>IF(Table1[[#This Row],[UnitsSold]]&gt;3000,"Large",IF(Table1[[#This Row],[UnitsSold]]&gt;1500,"Midium","Small"))</f>
        <v>Small</v>
      </c>
    </row>
    <row r="448" spans="1:17" x14ac:dyDescent="0.3">
      <c r="A448" s="2" t="s">
        <v>4</v>
      </c>
      <c r="B448" s="2" t="s">
        <v>6</v>
      </c>
      <c r="C448" s="2" t="s">
        <v>70</v>
      </c>
      <c r="D448" s="2" t="s">
        <v>506</v>
      </c>
      <c r="E448" s="4">
        <v>360</v>
      </c>
      <c r="F448" s="7" t="s">
        <v>71</v>
      </c>
      <c r="G448" s="7">
        <v>7</v>
      </c>
      <c r="H448" s="7" t="s">
        <v>1061</v>
      </c>
      <c r="I448" s="7" t="s">
        <v>1062</v>
      </c>
      <c r="J448" s="7">
        <v>2293.1999999999998</v>
      </c>
      <c r="K448" s="7" t="s">
        <v>1063</v>
      </c>
      <c r="L448" s="7">
        <v>493.2</v>
      </c>
      <c r="M448" s="1">
        <v>41913</v>
      </c>
      <c r="N448" s="4">
        <v>10</v>
      </c>
      <c r="O448" s="2" t="s">
        <v>66</v>
      </c>
      <c r="P448" s="4">
        <v>2014</v>
      </c>
      <c r="Q448" t="str">
        <f>IF(Table1[[#This Row],[UnitsSold]]&gt;3000,"Large",IF(Table1[[#This Row],[UnitsSold]]&gt;1500,"Midium","Small"))</f>
        <v>Small</v>
      </c>
    </row>
    <row r="449" spans="1:17" x14ac:dyDescent="0.3">
      <c r="A449" s="2" t="s">
        <v>47</v>
      </c>
      <c r="B449" s="2" t="s">
        <v>8</v>
      </c>
      <c r="C449" s="2" t="s">
        <v>101</v>
      </c>
      <c r="D449" s="2" t="s">
        <v>506</v>
      </c>
      <c r="E449" s="4">
        <v>1967</v>
      </c>
      <c r="F449" s="7" t="s">
        <v>102</v>
      </c>
      <c r="G449" s="7">
        <v>12</v>
      </c>
      <c r="H449" s="7" t="s">
        <v>1064</v>
      </c>
      <c r="I449" s="7" t="s">
        <v>1065</v>
      </c>
      <c r="J449" s="7">
        <v>21479.64</v>
      </c>
      <c r="K449" s="7" t="s">
        <v>1066</v>
      </c>
      <c r="L449" s="7">
        <v>15578.64</v>
      </c>
      <c r="M449" s="1">
        <v>41699</v>
      </c>
      <c r="N449" s="4">
        <v>3</v>
      </c>
      <c r="O449" s="2" t="s">
        <v>46</v>
      </c>
      <c r="P449" s="4">
        <v>2014</v>
      </c>
      <c r="Q449" t="str">
        <f>IF(Table1[[#This Row],[UnitsSold]]&gt;3000,"Large",IF(Table1[[#This Row],[UnitsSold]]&gt;1500,"Midium","Small"))</f>
        <v>Midium</v>
      </c>
    </row>
    <row r="450" spans="1:17" x14ac:dyDescent="0.3">
      <c r="A450" s="2" t="s">
        <v>7</v>
      </c>
      <c r="B450" s="2" t="s">
        <v>9</v>
      </c>
      <c r="C450" s="2" t="s">
        <v>101</v>
      </c>
      <c r="D450" s="2" t="s">
        <v>506</v>
      </c>
      <c r="E450" s="4">
        <v>2628</v>
      </c>
      <c r="F450" s="7" t="s">
        <v>102</v>
      </c>
      <c r="G450" s="7">
        <v>15</v>
      </c>
      <c r="H450" s="7" t="s">
        <v>1067</v>
      </c>
      <c r="I450" s="7" t="s">
        <v>1068</v>
      </c>
      <c r="J450" s="7">
        <v>35872.199999999997</v>
      </c>
      <c r="K450" s="7" t="s">
        <v>1069</v>
      </c>
      <c r="L450" s="7">
        <v>9592.2000000000007</v>
      </c>
      <c r="M450" s="1">
        <v>41730</v>
      </c>
      <c r="N450" s="4">
        <v>4</v>
      </c>
      <c r="O450" s="2" t="s">
        <v>117</v>
      </c>
      <c r="P450" s="4">
        <v>2014</v>
      </c>
      <c r="Q450" t="str">
        <f>IF(Table1[[#This Row],[UnitsSold]]&gt;3000,"Large",IF(Table1[[#This Row],[UnitsSold]]&gt;1500,"Midium","Small"))</f>
        <v>Midium</v>
      </c>
    </row>
    <row r="451" spans="1:17" x14ac:dyDescent="0.3">
      <c r="A451" s="2" t="s">
        <v>4</v>
      </c>
      <c r="B451" s="2" t="s">
        <v>6</v>
      </c>
      <c r="C451" s="2" t="s">
        <v>111</v>
      </c>
      <c r="D451" s="2" t="s">
        <v>506</v>
      </c>
      <c r="E451" s="4">
        <v>360</v>
      </c>
      <c r="F451" s="7" t="s">
        <v>112</v>
      </c>
      <c r="G451" s="7">
        <v>7</v>
      </c>
      <c r="H451" s="7" t="s">
        <v>1061</v>
      </c>
      <c r="I451" s="7" t="s">
        <v>1062</v>
      </c>
      <c r="J451" s="7">
        <v>2293.1999999999998</v>
      </c>
      <c r="K451" s="7" t="s">
        <v>1063</v>
      </c>
      <c r="L451" s="7">
        <v>493.2</v>
      </c>
      <c r="M451" s="1">
        <v>41913</v>
      </c>
      <c r="N451" s="4">
        <v>10</v>
      </c>
      <c r="O451" s="2" t="s">
        <v>66</v>
      </c>
      <c r="P451" s="4">
        <v>2014</v>
      </c>
      <c r="Q451" t="str">
        <f>IF(Table1[[#This Row],[UnitsSold]]&gt;3000,"Large",IF(Table1[[#This Row],[UnitsSold]]&gt;1500,"Midium","Small"))</f>
        <v>Small</v>
      </c>
    </row>
    <row r="452" spans="1:17" x14ac:dyDescent="0.3">
      <c r="A452" s="2" t="s">
        <v>4</v>
      </c>
      <c r="B452" s="2" t="s">
        <v>8</v>
      </c>
      <c r="C452" s="2" t="s">
        <v>111</v>
      </c>
      <c r="D452" s="2" t="s">
        <v>506</v>
      </c>
      <c r="E452" s="4">
        <v>2682</v>
      </c>
      <c r="F452" s="7" t="s">
        <v>112</v>
      </c>
      <c r="G452" s="7">
        <v>20</v>
      </c>
      <c r="H452" s="7" t="s">
        <v>1070</v>
      </c>
      <c r="I452" s="7" t="s">
        <v>1071</v>
      </c>
      <c r="J452" s="7">
        <v>48812.4</v>
      </c>
      <c r="K452" s="7" t="s">
        <v>1072</v>
      </c>
      <c r="L452" s="7">
        <v>21992.400000000001</v>
      </c>
      <c r="M452" s="1">
        <v>41579</v>
      </c>
      <c r="N452" s="4">
        <v>11</v>
      </c>
      <c r="O452" s="2" t="s">
        <v>94</v>
      </c>
      <c r="P452" s="4">
        <v>2013</v>
      </c>
      <c r="Q452" t="str">
        <f>IF(Table1[[#This Row],[UnitsSold]]&gt;3000,"Large",IF(Table1[[#This Row],[UnitsSold]]&gt;1500,"Midium","Small"))</f>
        <v>Midium</v>
      </c>
    </row>
    <row r="453" spans="1:17" x14ac:dyDescent="0.3">
      <c r="A453" s="2" t="s">
        <v>4</v>
      </c>
      <c r="B453" s="2" t="s">
        <v>9</v>
      </c>
      <c r="C453" s="2" t="s">
        <v>111</v>
      </c>
      <c r="D453" s="2" t="s">
        <v>506</v>
      </c>
      <c r="E453" s="4">
        <v>521</v>
      </c>
      <c r="F453" s="7" t="s">
        <v>112</v>
      </c>
      <c r="G453" s="7">
        <v>7</v>
      </c>
      <c r="H453" s="7" t="s">
        <v>1053</v>
      </c>
      <c r="I453" s="7" t="s">
        <v>1054</v>
      </c>
      <c r="J453" s="7">
        <v>3318.77</v>
      </c>
      <c r="K453" s="7" t="s">
        <v>1055</v>
      </c>
      <c r="L453" s="7">
        <v>713.77</v>
      </c>
      <c r="M453" s="1">
        <v>41974</v>
      </c>
      <c r="N453" s="4">
        <v>12</v>
      </c>
      <c r="O453" s="2" t="s">
        <v>41</v>
      </c>
      <c r="P453" s="4">
        <v>2014</v>
      </c>
      <c r="Q453" t="str">
        <f>IF(Table1[[#This Row],[UnitsSold]]&gt;3000,"Large",IF(Table1[[#This Row],[UnitsSold]]&gt;1500,"Midium","Small"))</f>
        <v>Small</v>
      </c>
    </row>
    <row r="454" spans="1:17" x14ac:dyDescent="0.3">
      <c r="A454" s="2" t="s">
        <v>4</v>
      </c>
      <c r="B454" s="2" t="s">
        <v>9</v>
      </c>
      <c r="C454" s="2" t="s">
        <v>122</v>
      </c>
      <c r="D454" s="2" t="s">
        <v>506</v>
      </c>
      <c r="E454" s="4">
        <v>1038</v>
      </c>
      <c r="F454" s="7" t="s">
        <v>123</v>
      </c>
      <c r="G454" s="7">
        <v>20</v>
      </c>
      <c r="H454" s="7" t="s">
        <v>1058</v>
      </c>
      <c r="I454" s="7" t="s">
        <v>1059</v>
      </c>
      <c r="J454" s="7">
        <v>18891.599999999999</v>
      </c>
      <c r="K454" s="7" t="s">
        <v>1060</v>
      </c>
      <c r="L454" s="7">
        <v>8511.6</v>
      </c>
      <c r="M454" s="1">
        <v>41791</v>
      </c>
      <c r="N454" s="4">
        <v>6</v>
      </c>
      <c r="O454" s="2" t="s">
        <v>34</v>
      </c>
      <c r="P454" s="4">
        <v>2014</v>
      </c>
      <c r="Q454" t="str">
        <f>IF(Table1[[#This Row],[UnitsSold]]&gt;3000,"Large",IF(Table1[[#This Row],[UnitsSold]]&gt;1500,"Midium","Small"))</f>
        <v>Small</v>
      </c>
    </row>
    <row r="455" spans="1:17" x14ac:dyDescent="0.3">
      <c r="A455" s="2" t="s">
        <v>7</v>
      </c>
      <c r="B455" s="2" t="s">
        <v>5</v>
      </c>
      <c r="C455" s="2" t="s">
        <v>122</v>
      </c>
      <c r="D455" s="2" t="s">
        <v>506</v>
      </c>
      <c r="E455" s="4">
        <v>1630.5</v>
      </c>
      <c r="F455" s="7" t="s">
        <v>123</v>
      </c>
      <c r="G455" s="7">
        <v>15</v>
      </c>
      <c r="H455" s="7" t="s">
        <v>1073</v>
      </c>
      <c r="I455" s="7" t="s">
        <v>1074</v>
      </c>
      <c r="J455" s="7">
        <v>22256.33</v>
      </c>
      <c r="K455" s="7" t="s">
        <v>1075</v>
      </c>
      <c r="L455" s="7">
        <v>5951.33</v>
      </c>
      <c r="M455" s="1">
        <v>41821</v>
      </c>
      <c r="N455" s="4">
        <v>7</v>
      </c>
      <c r="O455" s="2" t="s">
        <v>56</v>
      </c>
      <c r="P455" s="4">
        <v>2014</v>
      </c>
      <c r="Q455" t="str">
        <f>IF(Table1[[#This Row],[UnitsSold]]&gt;3000,"Large",IF(Table1[[#This Row],[UnitsSold]]&gt;1500,"Midium","Small"))</f>
        <v>Midium</v>
      </c>
    </row>
    <row r="456" spans="1:17" x14ac:dyDescent="0.3">
      <c r="A456" s="2" t="s">
        <v>47</v>
      </c>
      <c r="B456" s="2" t="s">
        <v>8</v>
      </c>
      <c r="C456" s="2" t="s">
        <v>122</v>
      </c>
      <c r="D456" s="2" t="s">
        <v>506</v>
      </c>
      <c r="E456" s="4">
        <v>306</v>
      </c>
      <c r="F456" s="7" t="s">
        <v>123</v>
      </c>
      <c r="G456" s="7">
        <v>12</v>
      </c>
      <c r="H456" s="7" t="s">
        <v>1076</v>
      </c>
      <c r="I456" s="7" t="s">
        <v>1077</v>
      </c>
      <c r="J456" s="7">
        <v>3341.52</v>
      </c>
      <c r="K456" s="7" t="s">
        <v>281</v>
      </c>
      <c r="L456" s="7">
        <v>2423.52</v>
      </c>
      <c r="M456" s="1">
        <v>41609</v>
      </c>
      <c r="N456" s="4">
        <v>12</v>
      </c>
      <c r="O456" s="2" t="s">
        <v>41</v>
      </c>
      <c r="P456" s="4">
        <v>2013</v>
      </c>
      <c r="Q456" t="str">
        <f>IF(Table1[[#This Row],[UnitsSold]]&gt;3000,"Large",IF(Table1[[#This Row],[UnitsSold]]&gt;1500,"Midium","Small"))</f>
        <v>Small</v>
      </c>
    </row>
    <row r="457" spans="1:17" x14ac:dyDescent="0.3">
      <c r="A457" s="2" t="s">
        <v>47</v>
      </c>
      <c r="B457" s="2" t="s">
        <v>67</v>
      </c>
      <c r="C457" s="2" t="s">
        <v>23</v>
      </c>
      <c r="D457" s="2" t="s">
        <v>1078</v>
      </c>
      <c r="E457" s="4">
        <v>386</v>
      </c>
      <c r="F457" s="7" t="s">
        <v>25</v>
      </c>
      <c r="G457" s="7">
        <v>12</v>
      </c>
      <c r="H457" s="7" t="s">
        <v>1079</v>
      </c>
      <c r="I457" s="7" t="s">
        <v>1080</v>
      </c>
      <c r="J457" s="7">
        <v>4168.8</v>
      </c>
      <c r="K457" s="7" t="s">
        <v>1081</v>
      </c>
      <c r="L457" s="7">
        <v>3010.8</v>
      </c>
      <c r="M457" s="1">
        <v>41548</v>
      </c>
      <c r="N457" s="4">
        <v>10</v>
      </c>
      <c r="O457" s="2" t="s">
        <v>66</v>
      </c>
      <c r="P457" s="4">
        <v>2013</v>
      </c>
      <c r="Q457" t="str">
        <f>IF(Table1[[#This Row],[UnitsSold]]&gt;3000,"Large",IF(Table1[[#This Row],[UnitsSold]]&gt;1500,"Midium","Small"))</f>
        <v>Small</v>
      </c>
    </row>
    <row r="458" spans="1:17" x14ac:dyDescent="0.3">
      <c r="A458" s="2" t="s">
        <v>4</v>
      </c>
      <c r="B458" s="2" t="s">
        <v>67</v>
      </c>
      <c r="C458" s="2" t="s">
        <v>42</v>
      </c>
      <c r="D458" s="2" t="s">
        <v>1078</v>
      </c>
      <c r="E458" s="4">
        <v>2328</v>
      </c>
      <c r="F458" s="7" t="s">
        <v>43</v>
      </c>
      <c r="G458" s="7">
        <v>7</v>
      </c>
      <c r="H458" s="7" t="s">
        <v>1082</v>
      </c>
      <c r="I458" s="7" t="s">
        <v>1083</v>
      </c>
      <c r="J458" s="7">
        <v>14666.4</v>
      </c>
      <c r="K458" s="7" t="s">
        <v>1084</v>
      </c>
      <c r="L458" s="7">
        <v>3026.4</v>
      </c>
      <c r="M458" s="1">
        <v>41883</v>
      </c>
      <c r="N458" s="4">
        <v>9</v>
      </c>
      <c r="O458" s="2" t="s">
        <v>63</v>
      </c>
      <c r="P458" s="4">
        <v>2014</v>
      </c>
      <c r="Q458" t="str">
        <f>IF(Table1[[#This Row],[UnitsSold]]&gt;3000,"Large",IF(Table1[[#This Row],[UnitsSold]]&gt;1500,"Midium","Small"))</f>
        <v>Midium</v>
      </c>
    </row>
    <row r="459" spans="1:17" x14ac:dyDescent="0.3">
      <c r="A459" s="2" t="s">
        <v>47</v>
      </c>
      <c r="B459" s="2" t="s">
        <v>67</v>
      </c>
      <c r="C459" s="2" t="s">
        <v>70</v>
      </c>
      <c r="D459" s="2" t="s">
        <v>1078</v>
      </c>
      <c r="E459" s="4">
        <v>386</v>
      </c>
      <c r="F459" s="7" t="s">
        <v>71</v>
      </c>
      <c r="G459" s="7">
        <v>12</v>
      </c>
      <c r="H459" s="7" t="s">
        <v>1079</v>
      </c>
      <c r="I459" s="7" t="s">
        <v>1080</v>
      </c>
      <c r="J459" s="7">
        <v>4168.8</v>
      </c>
      <c r="K459" s="7" t="s">
        <v>1081</v>
      </c>
      <c r="L459" s="7">
        <v>3010.8</v>
      </c>
      <c r="M459" s="1">
        <v>41548</v>
      </c>
      <c r="N459" s="4">
        <v>10</v>
      </c>
      <c r="O459" s="2" t="s">
        <v>66</v>
      </c>
      <c r="P459" s="4">
        <v>2013</v>
      </c>
      <c r="Q459" t="str">
        <f>IF(Table1[[#This Row],[UnitsSold]]&gt;3000,"Large",IF(Table1[[#This Row],[UnitsSold]]&gt;1500,"Midium","Small"))</f>
        <v>Small</v>
      </c>
    </row>
    <row r="460" spans="1:17" x14ac:dyDescent="0.3">
      <c r="A460" s="2" t="s">
        <v>10</v>
      </c>
      <c r="B460" s="2" t="s">
        <v>67</v>
      </c>
      <c r="C460" s="2" t="s">
        <v>23</v>
      </c>
      <c r="D460" s="2" t="s">
        <v>1078</v>
      </c>
      <c r="E460" s="4">
        <v>3445.5</v>
      </c>
      <c r="F460" s="7" t="s">
        <v>25</v>
      </c>
      <c r="G460" s="7">
        <v>125</v>
      </c>
      <c r="H460" s="7" t="s">
        <v>1085</v>
      </c>
      <c r="I460" s="7" t="s">
        <v>1086</v>
      </c>
      <c r="J460" s="7" t="s">
        <v>1778</v>
      </c>
      <c r="K460" s="7" t="s">
        <v>1087</v>
      </c>
      <c r="L460" s="7">
        <v>25841.25</v>
      </c>
      <c r="M460" s="1">
        <v>41730</v>
      </c>
      <c r="N460" s="4">
        <v>4</v>
      </c>
      <c r="O460" s="2" t="s">
        <v>117</v>
      </c>
      <c r="P460" s="4">
        <v>2014</v>
      </c>
      <c r="Q460" t="str">
        <f>IF(Table1[[#This Row],[UnitsSold]]&gt;3000,"Large",IF(Table1[[#This Row],[UnitsSold]]&gt;1500,"Midium","Small"))</f>
        <v>Large</v>
      </c>
    </row>
    <row r="461" spans="1:17" x14ac:dyDescent="0.3">
      <c r="A461" s="2" t="s">
        <v>10</v>
      </c>
      <c r="B461" s="2" t="s">
        <v>8</v>
      </c>
      <c r="C461" s="2" t="s">
        <v>23</v>
      </c>
      <c r="D461" s="2" t="s">
        <v>1078</v>
      </c>
      <c r="E461" s="4">
        <v>1482</v>
      </c>
      <c r="F461" s="7" t="s">
        <v>25</v>
      </c>
      <c r="G461" s="7">
        <v>125</v>
      </c>
      <c r="H461" s="7" t="s">
        <v>1088</v>
      </c>
      <c r="I461" s="7" t="s">
        <v>1089</v>
      </c>
      <c r="J461" s="7" t="s">
        <v>1779</v>
      </c>
      <c r="K461" s="7" t="s">
        <v>1090</v>
      </c>
      <c r="L461" s="7">
        <v>11115</v>
      </c>
      <c r="M461" s="1">
        <v>41609</v>
      </c>
      <c r="N461" s="4">
        <v>12</v>
      </c>
      <c r="O461" s="2" t="s">
        <v>41</v>
      </c>
      <c r="P461" s="4">
        <v>2013</v>
      </c>
      <c r="Q461" t="str">
        <f>IF(Table1[[#This Row],[UnitsSold]]&gt;3000,"Large",IF(Table1[[#This Row],[UnitsSold]]&gt;1500,"Midium","Small"))</f>
        <v>Small</v>
      </c>
    </row>
    <row r="462" spans="1:17" x14ac:dyDescent="0.3">
      <c r="A462" s="2" t="s">
        <v>4</v>
      </c>
      <c r="B462" s="2" t="s">
        <v>67</v>
      </c>
      <c r="C462" s="2" t="s">
        <v>42</v>
      </c>
      <c r="D462" s="2" t="s">
        <v>1078</v>
      </c>
      <c r="E462" s="4">
        <v>2313</v>
      </c>
      <c r="F462" s="7" t="s">
        <v>43</v>
      </c>
      <c r="G462" s="7">
        <v>350</v>
      </c>
      <c r="H462" s="7" t="s">
        <v>1091</v>
      </c>
      <c r="I462" s="7" t="s">
        <v>1092</v>
      </c>
      <c r="J462" s="7" t="s">
        <v>1780</v>
      </c>
      <c r="K462" s="7" t="s">
        <v>1093</v>
      </c>
      <c r="L462" s="7" t="s">
        <v>1892</v>
      </c>
      <c r="M462" s="1">
        <v>41760</v>
      </c>
      <c r="N462" s="4">
        <v>5</v>
      </c>
      <c r="O462" s="2" t="s">
        <v>145</v>
      </c>
      <c r="P462" s="4">
        <v>2014</v>
      </c>
      <c r="Q462" t="str">
        <f>IF(Table1[[#This Row],[UnitsSold]]&gt;3000,"Large",IF(Table1[[#This Row],[UnitsSold]]&gt;1500,"Midium","Small"))</f>
        <v>Midium</v>
      </c>
    </row>
    <row r="463" spans="1:17" x14ac:dyDescent="0.3">
      <c r="A463" s="2" t="s">
        <v>10</v>
      </c>
      <c r="B463" s="2" t="s">
        <v>67</v>
      </c>
      <c r="C463" s="2" t="s">
        <v>42</v>
      </c>
      <c r="D463" s="2" t="s">
        <v>1078</v>
      </c>
      <c r="E463" s="4">
        <v>1804</v>
      </c>
      <c r="F463" s="7" t="s">
        <v>43</v>
      </c>
      <c r="G463" s="7">
        <v>125</v>
      </c>
      <c r="H463" s="7" t="s">
        <v>105</v>
      </c>
      <c r="I463" s="7" t="s">
        <v>1094</v>
      </c>
      <c r="J463" s="7" t="s">
        <v>1781</v>
      </c>
      <c r="K463" s="7" t="s">
        <v>106</v>
      </c>
      <c r="L463" s="7">
        <v>13530</v>
      </c>
      <c r="M463" s="1">
        <v>41579</v>
      </c>
      <c r="N463" s="4">
        <v>11</v>
      </c>
      <c r="O463" s="2" t="s">
        <v>94</v>
      </c>
      <c r="P463" s="4">
        <v>2013</v>
      </c>
      <c r="Q463" t="str">
        <f>IF(Table1[[#This Row],[UnitsSold]]&gt;3000,"Large",IF(Table1[[#This Row],[UnitsSold]]&gt;1500,"Midium","Small"))</f>
        <v>Midium</v>
      </c>
    </row>
    <row r="464" spans="1:17" x14ac:dyDescent="0.3">
      <c r="A464" s="2" t="s">
        <v>7</v>
      </c>
      <c r="B464" s="2" t="s">
        <v>8</v>
      </c>
      <c r="C464" s="2" t="s">
        <v>42</v>
      </c>
      <c r="D464" s="2" t="s">
        <v>1078</v>
      </c>
      <c r="E464" s="4">
        <v>2072</v>
      </c>
      <c r="F464" s="7" t="s">
        <v>43</v>
      </c>
      <c r="G464" s="7">
        <v>15</v>
      </c>
      <c r="H464" s="7" t="s">
        <v>1095</v>
      </c>
      <c r="I464" s="7" t="s">
        <v>1096</v>
      </c>
      <c r="J464" s="7">
        <v>27972</v>
      </c>
      <c r="K464" s="7" t="s">
        <v>1097</v>
      </c>
      <c r="L464" s="7">
        <v>7252</v>
      </c>
      <c r="M464" s="1">
        <v>41974</v>
      </c>
      <c r="N464" s="4">
        <v>12</v>
      </c>
      <c r="O464" s="2" t="s">
        <v>41</v>
      </c>
      <c r="P464" s="4">
        <v>2014</v>
      </c>
      <c r="Q464" t="str">
        <f>IF(Table1[[#This Row],[UnitsSold]]&gt;3000,"Large",IF(Table1[[#This Row],[UnitsSold]]&gt;1500,"Midium","Small"))</f>
        <v>Midium</v>
      </c>
    </row>
    <row r="465" spans="1:17" x14ac:dyDescent="0.3">
      <c r="A465" s="2" t="s">
        <v>4</v>
      </c>
      <c r="B465" s="2" t="s">
        <v>8</v>
      </c>
      <c r="C465" s="2" t="s">
        <v>70</v>
      </c>
      <c r="D465" s="2" t="s">
        <v>1078</v>
      </c>
      <c r="E465" s="4">
        <v>1954</v>
      </c>
      <c r="F465" s="7" t="s">
        <v>71</v>
      </c>
      <c r="G465" s="7">
        <v>20</v>
      </c>
      <c r="H465" s="7" t="s">
        <v>1098</v>
      </c>
      <c r="I465" s="7" t="s">
        <v>1099</v>
      </c>
      <c r="J465" s="7">
        <v>35172</v>
      </c>
      <c r="K465" s="7" t="s">
        <v>1100</v>
      </c>
      <c r="L465" s="7">
        <v>15632</v>
      </c>
      <c r="M465" s="1">
        <v>41699</v>
      </c>
      <c r="N465" s="4">
        <v>3</v>
      </c>
      <c r="O465" s="2" t="s">
        <v>46</v>
      </c>
      <c r="P465" s="4">
        <v>2014</v>
      </c>
      <c r="Q465" t="str">
        <f>IF(Table1[[#This Row],[UnitsSold]]&gt;3000,"Large",IF(Table1[[#This Row],[UnitsSold]]&gt;1500,"Midium","Small"))</f>
        <v>Midium</v>
      </c>
    </row>
    <row r="466" spans="1:17" x14ac:dyDescent="0.3">
      <c r="A466" s="2" t="s">
        <v>57</v>
      </c>
      <c r="B466" s="2" t="s">
        <v>9</v>
      </c>
      <c r="C466" s="2" t="s">
        <v>70</v>
      </c>
      <c r="D466" s="2" t="s">
        <v>1078</v>
      </c>
      <c r="E466" s="4">
        <v>591</v>
      </c>
      <c r="F466" s="7" t="s">
        <v>71</v>
      </c>
      <c r="G466" s="7">
        <v>300</v>
      </c>
      <c r="H466" s="7" t="s">
        <v>1101</v>
      </c>
      <c r="I466" s="7" t="s">
        <v>1102</v>
      </c>
      <c r="J466" s="7" t="s">
        <v>1782</v>
      </c>
      <c r="K466" s="7" t="s">
        <v>1103</v>
      </c>
      <c r="L466" s="7">
        <v>11820</v>
      </c>
      <c r="M466" s="1">
        <v>41760</v>
      </c>
      <c r="N466" s="4">
        <v>5</v>
      </c>
      <c r="O466" s="2" t="s">
        <v>145</v>
      </c>
      <c r="P466" s="4">
        <v>2014</v>
      </c>
      <c r="Q466" t="str">
        <f>IF(Table1[[#This Row],[UnitsSold]]&gt;3000,"Large",IF(Table1[[#This Row],[UnitsSold]]&gt;1500,"Midium","Small"))</f>
        <v>Small</v>
      </c>
    </row>
    <row r="467" spans="1:17" x14ac:dyDescent="0.3">
      <c r="A467" s="2" t="s">
        <v>7</v>
      </c>
      <c r="B467" s="2" t="s">
        <v>8</v>
      </c>
      <c r="C467" s="2" t="s">
        <v>70</v>
      </c>
      <c r="D467" s="2" t="s">
        <v>1078</v>
      </c>
      <c r="E467" s="4">
        <v>2167</v>
      </c>
      <c r="F467" s="7" t="s">
        <v>71</v>
      </c>
      <c r="G467" s="7">
        <v>15</v>
      </c>
      <c r="H467" s="7" t="s">
        <v>1104</v>
      </c>
      <c r="I467" s="7" t="s">
        <v>1105</v>
      </c>
      <c r="J467" s="7">
        <v>29254.5</v>
      </c>
      <c r="K467" s="7" t="s">
        <v>1106</v>
      </c>
      <c r="L467" s="7">
        <v>7584.5</v>
      </c>
      <c r="M467" s="1">
        <v>41548</v>
      </c>
      <c r="N467" s="4">
        <v>10</v>
      </c>
      <c r="O467" s="2" t="s">
        <v>66</v>
      </c>
      <c r="P467" s="4">
        <v>2013</v>
      </c>
      <c r="Q467" t="str">
        <f>IF(Table1[[#This Row],[UnitsSold]]&gt;3000,"Large",IF(Table1[[#This Row],[UnitsSold]]&gt;1500,"Midium","Small"))</f>
        <v>Midium</v>
      </c>
    </row>
    <row r="468" spans="1:17" x14ac:dyDescent="0.3">
      <c r="A468" s="2" t="s">
        <v>4</v>
      </c>
      <c r="B468" s="2" t="s">
        <v>6</v>
      </c>
      <c r="C468" s="2" t="s">
        <v>70</v>
      </c>
      <c r="D468" s="2" t="s">
        <v>1078</v>
      </c>
      <c r="E468" s="4">
        <v>241</v>
      </c>
      <c r="F468" s="7" t="s">
        <v>71</v>
      </c>
      <c r="G468" s="7">
        <v>20</v>
      </c>
      <c r="H468" s="7" t="s">
        <v>1107</v>
      </c>
      <c r="I468" s="7" t="s">
        <v>1108</v>
      </c>
      <c r="J468" s="7">
        <v>4338</v>
      </c>
      <c r="K468" s="7" t="s">
        <v>1109</v>
      </c>
      <c r="L468" s="7">
        <v>1928</v>
      </c>
      <c r="M468" s="1">
        <v>41913</v>
      </c>
      <c r="N468" s="4">
        <v>10</v>
      </c>
      <c r="O468" s="2" t="s">
        <v>66</v>
      </c>
      <c r="P468" s="4">
        <v>2014</v>
      </c>
      <c r="Q468" t="str">
        <f>IF(Table1[[#This Row],[UnitsSold]]&gt;3000,"Large",IF(Table1[[#This Row],[UnitsSold]]&gt;1500,"Midium","Small"))</f>
        <v>Small</v>
      </c>
    </row>
    <row r="469" spans="1:17" x14ac:dyDescent="0.3">
      <c r="A469" s="2" t="s">
        <v>7</v>
      </c>
      <c r="B469" s="2" t="s">
        <v>6</v>
      </c>
      <c r="C469" s="2" t="s">
        <v>101</v>
      </c>
      <c r="D469" s="2" t="s">
        <v>1078</v>
      </c>
      <c r="E469" s="4">
        <v>681</v>
      </c>
      <c r="F469" s="7" t="s">
        <v>102</v>
      </c>
      <c r="G469" s="7">
        <v>15</v>
      </c>
      <c r="H469" s="7" t="s">
        <v>1110</v>
      </c>
      <c r="I469" s="7" t="s">
        <v>1111</v>
      </c>
      <c r="J469" s="7">
        <v>9193.5</v>
      </c>
      <c r="K469" s="7" t="s">
        <v>1112</v>
      </c>
      <c r="L469" s="7">
        <v>2383.5</v>
      </c>
      <c r="M469" s="1">
        <v>41640</v>
      </c>
      <c r="N469" s="4">
        <v>1</v>
      </c>
      <c r="O469" s="2" t="s">
        <v>29</v>
      </c>
      <c r="P469" s="4">
        <v>2014</v>
      </c>
      <c r="Q469" t="str">
        <f>IF(Table1[[#This Row],[UnitsSold]]&gt;3000,"Large",IF(Table1[[#This Row],[UnitsSold]]&gt;1500,"Midium","Small"))</f>
        <v>Small</v>
      </c>
    </row>
    <row r="470" spans="1:17" x14ac:dyDescent="0.3">
      <c r="A470" s="2" t="s">
        <v>7</v>
      </c>
      <c r="B470" s="2" t="s">
        <v>6</v>
      </c>
      <c r="C470" s="2" t="s">
        <v>101</v>
      </c>
      <c r="D470" s="2" t="s">
        <v>1078</v>
      </c>
      <c r="E470" s="4">
        <v>510</v>
      </c>
      <c r="F470" s="7" t="s">
        <v>102</v>
      </c>
      <c r="G470" s="7">
        <v>15</v>
      </c>
      <c r="H470" s="7" t="s">
        <v>1113</v>
      </c>
      <c r="I470" s="7" t="s">
        <v>1114</v>
      </c>
      <c r="J470" s="7">
        <v>6885</v>
      </c>
      <c r="K470" s="7" t="s">
        <v>1115</v>
      </c>
      <c r="L470" s="7">
        <v>1785</v>
      </c>
      <c r="M470" s="1">
        <v>41730</v>
      </c>
      <c r="N470" s="4">
        <v>4</v>
      </c>
      <c r="O470" s="2" t="s">
        <v>117</v>
      </c>
      <c r="P470" s="4">
        <v>2014</v>
      </c>
      <c r="Q470" t="str">
        <f>IF(Table1[[#This Row],[UnitsSold]]&gt;3000,"Large",IF(Table1[[#This Row],[UnitsSold]]&gt;1500,"Midium","Small"))</f>
        <v>Small</v>
      </c>
    </row>
    <row r="471" spans="1:17" x14ac:dyDescent="0.3">
      <c r="A471" s="2" t="s">
        <v>7</v>
      </c>
      <c r="B471" s="2" t="s">
        <v>67</v>
      </c>
      <c r="C471" s="2" t="s">
        <v>101</v>
      </c>
      <c r="D471" s="2" t="s">
        <v>1078</v>
      </c>
      <c r="E471" s="4">
        <v>790</v>
      </c>
      <c r="F471" s="7" t="s">
        <v>102</v>
      </c>
      <c r="G471" s="7">
        <v>15</v>
      </c>
      <c r="H471" s="7" t="s">
        <v>1116</v>
      </c>
      <c r="I471" s="7" t="s">
        <v>1117</v>
      </c>
      <c r="J471" s="7">
        <v>10665</v>
      </c>
      <c r="K471" s="7" t="s">
        <v>1118</v>
      </c>
      <c r="L471" s="7">
        <v>2765</v>
      </c>
      <c r="M471" s="1">
        <v>41760</v>
      </c>
      <c r="N471" s="4">
        <v>5</v>
      </c>
      <c r="O471" s="2" t="s">
        <v>145</v>
      </c>
      <c r="P471" s="4">
        <v>2014</v>
      </c>
      <c r="Q471" t="str">
        <f>IF(Table1[[#This Row],[UnitsSold]]&gt;3000,"Large",IF(Table1[[#This Row],[UnitsSold]]&gt;1500,"Midium","Small"))</f>
        <v>Small</v>
      </c>
    </row>
    <row r="472" spans="1:17" x14ac:dyDescent="0.3">
      <c r="A472" s="2" t="s">
        <v>4</v>
      </c>
      <c r="B472" s="2" t="s">
        <v>8</v>
      </c>
      <c r="C472" s="2" t="s">
        <v>101</v>
      </c>
      <c r="D472" s="2" t="s">
        <v>1078</v>
      </c>
      <c r="E472" s="4">
        <v>639</v>
      </c>
      <c r="F472" s="7" t="s">
        <v>102</v>
      </c>
      <c r="G472" s="7">
        <v>350</v>
      </c>
      <c r="H472" s="7" t="s">
        <v>1119</v>
      </c>
      <c r="I472" s="7" t="s">
        <v>1120</v>
      </c>
      <c r="J472" s="7" t="s">
        <v>1783</v>
      </c>
      <c r="K472" s="7" t="s">
        <v>1121</v>
      </c>
      <c r="L472" s="7">
        <v>35145</v>
      </c>
      <c r="M472" s="1">
        <v>41821</v>
      </c>
      <c r="N472" s="4">
        <v>7</v>
      </c>
      <c r="O472" s="2" t="s">
        <v>56</v>
      </c>
      <c r="P472" s="4">
        <v>2014</v>
      </c>
      <c r="Q472" t="str">
        <f>IF(Table1[[#This Row],[UnitsSold]]&gt;3000,"Large",IF(Table1[[#This Row],[UnitsSold]]&gt;1500,"Midium","Small"))</f>
        <v>Small</v>
      </c>
    </row>
    <row r="473" spans="1:17" x14ac:dyDescent="0.3">
      <c r="A473" s="2" t="s">
        <v>10</v>
      </c>
      <c r="B473" s="2" t="s">
        <v>67</v>
      </c>
      <c r="C473" s="2" t="s">
        <v>101</v>
      </c>
      <c r="D473" s="2" t="s">
        <v>1078</v>
      </c>
      <c r="E473" s="4">
        <v>1596</v>
      </c>
      <c r="F473" s="7" t="s">
        <v>102</v>
      </c>
      <c r="G473" s="7">
        <v>125</v>
      </c>
      <c r="H473" s="7" t="s">
        <v>1122</v>
      </c>
      <c r="I473" s="7" t="s">
        <v>1123</v>
      </c>
      <c r="J473" s="7" t="s">
        <v>1784</v>
      </c>
      <c r="K473" s="7" t="s">
        <v>1124</v>
      </c>
      <c r="L473" s="7">
        <v>11970</v>
      </c>
      <c r="M473" s="1">
        <v>41883</v>
      </c>
      <c r="N473" s="4">
        <v>9</v>
      </c>
      <c r="O473" s="2" t="s">
        <v>63</v>
      </c>
      <c r="P473" s="4">
        <v>2014</v>
      </c>
      <c r="Q473" t="str">
        <f>IF(Table1[[#This Row],[UnitsSold]]&gt;3000,"Large",IF(Table1[[#This Row],[UnitsSold]]&gt;1500,"Midium","Small"))</f>
        <v>Midium</v>
      </c>
    </row>
    <row r="474" spans="1:17" x14ac:dyDescent="0.3">
      <c r="A474" s="2" t="s">
        <v>57</v>
      </c>
      <c r="B474" s="2" t="s">
        <v>67</v>
      </c>
      <c r="C474" s="2" t="s">
        <v>101</v>
      </c>
      <c r="D474" s="2" t="s">
        <v>1078</v>
      </c>
      <c r="E474" s="4">
        <v>2294</v>
      </c>
      <c r="F474" s="7" t="s">
        <v>102</v>
      </c>
      <c r="G474" s="7">
        <v>300</v>
      </c>
      <c r="H474" s="7" t="s">
        <v>1125</v>
      </c>
      <c r="I474" s="7" t="s">
        <v>1126</v>
      </c>
      <c r="J474" s="7" t="s">
        <v>1785</v>
      </c>
      <c r="K474" s="7" t="s">
        <v>1127</v>
      </c>
      <c r="L474" s="7">
        <v>45880</v>
      </c>
      <c r="M474" s="1">
        <v>41548</v>
      </c>
      <c r="N474" s="4">
        <v>10</v>
      </c>
      <c r="O474" s="2" t="s">
        <v>66</v>
      </c>
      <c r="P474" s="4">
        <v>2013</v>
      </c>
      <c r="Q474" t="str">
        <f>IF(Table1[[#This Row],[UnitsSold]]&gt;3000,"Large",IF(Table1[[#This Row],[UnitsSold]]&gt;1500,"Midium","Small"))</f>
        <v>Midium</v>
      </c>
    </row>
    <row r="475" spans="1:17" x14ac:dyDescent="0.3">
      <c r="A475" s="2" t="s">
        <v>4</v>
      </c>
      <c r="B475" s="2" t="s">
        <v>6</v>
      </c>
      <c r="C475" s="2" t="s">
        <v>101</v>
      </c>
      <c r="D475" s="2" t="s">
        <v>1078</v>
      </c>
      <c r="E475" s="4">
        <v>241</v>
      </c>
      <c r="F475" s="7" t="s">
        <v>102</v>
      </c>
      <c r="G475" s="7">
        <v>20</v>
      </c>
      <c r="H475" s="7" t="s">
        <v>1107</v>
      </c>
      <c r="I475" s="7" t="s">
        <v>1108</v>
      </c>
      <c r="J475" s="7">
        <v>4338</v>
      </c>
      <c r="K475" s="7" t="s">
        <v>1109</v>
      </c>
      <c r="L475" s="7">
        <v>1928</v>
      </c>
      <c r="M475" s="1">
        <v>41913</v>
      </c>
      <c r="N475" s="4">
        <v>10</v>
      </c>
      <c r="O475" s="2" t="s">
        <v>66</v>
      </c>
      <c r="P475" s="4">
        <v>2014</v>
      </c>
      <c r="Q475" t="str">
        <f>IF(Table1[[#This Row],[UnitsSold]]&gt;3000,"Large",IF(Table1[[#This Row],[UnitsSold]]&gt;1500,"Midium","Small"))</f>
        <v>Small</v>
      </c>
    </row>
    <row r="476" spans="1:17" x14ac:dyDescent="0.3">
      <c r="A476" s="2" t="s">
        <v>4</v>
      </c>
      <c r="B476" s="2" t="s">
        <v>6</v>
      </c>
      <c r="C476" s="2" t="s">
        <v>101</v>
      </c>
      <c r="D476" s="2" t="s">
        <v>1078</v>
      </c>
      <c r="E476" s="4">
        <v>2665</v>
      </c>
      <c r="F476" s="7" t="s">
        <v>102</v>
      </c>
      <c r="G476" s="7">
        <v>7</v>
      </c>
      <c r="H476" s="7" t="s">
        <v>1128</v>
      </c>
      <c r="I476" s="7" t="s">
        <v>1129</v>
      </c>
      <c r="J476" s="7">
        <v>16789.5</v>
      </c>
      <c r="K476" s="7" t="s">
        <v>1130</v>
      </c>
      <c r="L476" s="7">
        <v>3464.5</v>
      </c>
      <c r="M476" s="1">
        <v>41944</v>
      </c>
      <c r="N476" s="4">
        <v>11</v>
      </c>
      <c r="O476" s="2" t="s">
        <v>94</v>
      </c>
      <c r="P476" s="4">
        <v>2014</v>
      </c>
      <c r="Q476" t="str">
        <f>IF(Table1[[#This Row],[UnitsSold]]&gt;3000,"Large",IF(Table1[[#This Row],[UnitsSold]]&gt;1500,"Midium","Small"))</f>
        <v>Midium</v>
      </c>
    </row>
    <row r="477" spans="1:17" x14ac:dyDescent="0.3">
      <c r="A477" s="2" t="s">
        <v>10</v>
      </c>
      <c r="B477" s="2" t="s">
        <v>5</v>
      </c>
      <c r="C477" s="2" t="s">
        <v>101</v>
      </c>
      <c r="D477" s="2" t="s">
        <v>1078</v>
      </c>
      <c r="E477" s="4">
        <v>1916</v>
      </c>
      <c r="F477" s="7" t="s">
        <v>102</v>
      </c>
      <c r="G477" s="7">
        <v>125</v>
      </c>
      <c r="H477" s="7" t="s">
        <v>59</v>
      </c>
      <c r="I477" s="7" t="s">
        <v>1131</v>
      </c>
      <c r="J477" s="7" t="s">
        <v>1786</v>
      </c>
      <c r="K477" s="7" t="s">
        <v>1132</v>
      </c>
      <c r="L477" s="7">
        <v>14370</v>
      </c>
      <c r="M477" s="1">
        <v>41609</v>
      </c>
      <c r="N477" s="4">
        <v>12</v>
      </c>
      <c r="O477" s="2" t="s">
        <v>41</v>
      </c>
      <c r="P477" s="4">
        <v>2013</v>
      </c>
      <c r="Q477" t="str">
        <f>IF(Table1[[#This Row],[UnitsSold]]&gt;3000,"Large",IF(Table1[[#This Row],[UnitsSold]]&gt;1500,"Midium","Small"))</f>
        <v>Midium</v>
      </c>
    </row>
    <row r="478" spans="1:17" x14ac:dyDescent="0.3">
      <c r="A478" s="2" t="s">
        <v>57</v>
      </c>
      <c r="B478" s="2" t="s">
        <v>8</v>
      </c>
      <c r="C478" s="2" t="s">
        <v>101</v>
      </c>
      <c r="D478" s="2" t="s">
        <v>1078</v>
      </c>
      <c r="E478" s="4">
        <v>853</v>
      </c>
      <c r="F478" s="7" t="s">
        <v>102</v>
      </c>
      <c r="G478" s="7">
        <v>300</v>
      </c>
      <c r="H478" s="7" t="s">
        <v>1133</v>
      </c>
      <c r="I478" s="7" t="s">
        <v>1134</v>
      </c>
      <c r="J478" s="7" t="s">
        <v>1787</v>
      </c>
      <c r="K478" s="7" t="s">
        <v>379</v>
      </c>
      <c r="L478" s="7">
        <v>17060</v>
      </c>
      <c r="M478" s="1">
        <v>41974</v>
      </c>
      <c r="N478" s="4">
        <v>12</v>
      </c>
      <c r="O478" s="2" t="s">
        <v>41</v>
      </c>
      <c r="P478" s="4">
        <v>2014</v>
      </c>
      <c r="Q478" t="str">
        <f>IF(Table1[[#This Row],[UnitsSold]]&gt;3000,"Large",IF(Table1[[#This Row],[UnitsSold]]&gt;1500,"Midium","Small"))</f>
        <v>Small</v>
      </c>
    </row>
    <row r="479" spans="1:17" x14ac:dyDescent="0.3">
      <c r="A479" s="2" t="s">
        <v>10</v>
      </c>
      <c r="B479" s="2" t="s">
        <v>9</v>
      </c>
      <c r="C479" s="2" t="s">
        <v>111</v>
      </c>
      <c r="D479" s="2" t="s">
        <v>1078</v>
      </c>
      <c r="E479" s="4">
        <v>341</v>
      </c>
      <c r="F479" s="7" t="s">
        <v>112</v>
      </c>
      <c r="G479" s="7">
        <v>125</v>
      </c>
      <c r="H479" s="7" t="s">
        <v>1135</v>
      </c>
      <c r="I479" s="7" t="s">
        <v>1136</v>
      </c>
      <c r="J479" s="7">
        <v>38362.5</v>
      </c>
      <c r="K479" s="7" t="s">
        <v>1137</v>
      </c>
      <c r="L479" s="7">
        <v>2557.5</v>
      </c>
      <c r="M479" s="1">
        <v>41760</v>
      </c>
      <c r="N479" s="4">
        <v>5</v>
      </c>
      <c r="O479" s="2" t="s">
        <v>145</v>
      </c>
      <c r="P479" s="4">
        <v>2014</v>
      </c>
      <c r="Q479" t="str">
        <f>IF(Table1[[#This Row],[UnitsSold]]&gt;3000,"Large",IF(Table1[[#This Row],[UnitsSold]]&gt;1500,"Midium","Small"))</f>
        <v>Small</v>
      </c>
    </row>
    <row r="480" spans="1:17" x14ac:dyDescent="0.3">
      <c r="A480" s="2" t="s">
        <v>7</v>
      </c>
      <c r="B480" s="2" t="s">
        <v>9</v>
      </c>
      <c r="C480" s="2" t="s">
        <v>111</v>
      </c>
      <c r="D480" s="2" t="s">
        <v>1078</v>
      </c>
      <c r="E480" s="4">
        <v>641</v>
      </c>
      <c r="F480" s="7" t="s">
        <v>112</v>
      </c>
      <c r="G480" s="7">
        <v>15</v>
      </c>
      <c r="H480" s="7" t="s">
        <v>1138</v>
      </c>
      <c r="I480" s="7" t="s">
        <v>1139</v>
      </c>
      <c r="J480" s="7">
        <v>8653.5</v>
      </c>
      <c r="K480" s="7" t="s">
        <v>1140</v>
      </c>
      <c r="L480" s="7">
        <v>2243.5</v>
      </c>
      <c r="M480" s="1">
        <v>41821</v>
      </c>
      <c r="N480" s="4">
        <v>7</v>
      </c>
      <c r="O480" s="2" t="s">
        <v>56</v>
      </c>
      <c r="P480" s="4">
        <v>2014</v>
      </c>
      <c r="Q480" t="str">
        <f>IF(Table1[[#This Row],[UnitsSold]]&gt;3000,"Large",IF(Table1[[#This Row],[UnitsSold]]&gt;1500,"Midium","Small"))</f>
        <v>Small</v>
      </c>
    </row>
    <row r="481" spans="1:17" x14ac:dyDescent="0.3">
      <c r="A481" s="2" t="s">
        <v>4</v>
      </c>
      <c r="B481" s="2" t="s">
        <v>67</v>
      </c>
      <c r="C481" s="2" t="s">
        <v>111</v>
      </c>
      <c r="D481" s="2" t="s">
        <v>1078</v>
      </c>
      <c r="E481" s="4">
        <v>2807</v>
      </c>
      <c r="F481" s="7" t="s">
        <v>112</v>
      </c>
      <c r="G481" s="7">
        <v>350</v>
      </c>
      <c r="H481" s="7" t="s">
        <v>1141</v>
      </c>
      <c r="I481" s="7" t="s">
        <v>1142</v>
      </c>
      <c r="J481" s="7" t="s">
        <v>1788</v>
      </c>
      <c r="K481" s="7" t="s">
        <v>1143</v>
      </c>
      <c r="L481" s="7" t="s">
        <v>1893</v>
      </c>
      <c r="M481" s="1">
        <v>41852</v>
      </c>
      <c r="N481" s="4">
        <v>8</v>
      </c>
      <c r="O481" s="2" t="s">
        <v>60</v>
      </c>
      <c r="P481" s="4">
        <v>2014</v>
      </c>
      <c r="Q481" t="str">
        <f>IF(Table1[[#This Row],[UnitsSold]]&gt;3000,"Large",IF(Table1[[#This Row],[UnitsSold]]&gt;1500,"Midium","Small"))</f>
        <v>Midium</v>
      </c>
    </row>
    <row r="482" spans="1:17" x14ac:dyDescent="0.3">
      <c r="A482" s="2" t="s">
        <v>57</v>
      </c>
      <c r="B482" s="2" t="s">
        <v>9</v>
      </c>
      <c r="C482" s="2" t="s">
        <v>111</v>
      </c>
      <c r="D482" s="2" t="s">
        <v>1078</v>
      </c>
      <c r="E482" s="4">
        <v>432</v>
      </c>
      <c r="F482" s="7" t="s">
        <v>112</v>
      </c>
      <c r="G482" s="7">
        <v>300</v>
      </c>
      <c r="H482" s="7" t="s">
        <v>1144</v>
      </c>
      <c r="I482" s="7" t="s">
        <v>1145</v>
      </c>
      <c r="J482" s="7" t="s">
        <v>1789</v>
      </c>
      <c r="K482" s="7" t="s">
        <v>1146</v>
      </c>
      <c r="L482" s="7">
        <v>8640</v>
      </c>
      <c r="M482" s="1">
        <v>41883</v>
      </c>
      <c r="N482" s="4">
        <v>9</v>
      </c>
      <c r="O482" s="2" t="s">
        <v>63</v>
      </c>
      <c r="P482" s="4">
        <v>2014</v>
      </c>
      <c r="Q482" t="str">
        <f>IF(Table1[[#This Row],[UnitsSold]]&gt;3000,"Large",IF(Table1[[#This Row],[UnitsSold]]&gt;1500,"Midium","Small"))</f>
        <v>Small</v>
      </c>
    </row>
    <row r="483" spans="1:17" x14ac:dyDescent="0.3">
      <c r="A483" s="2" t="s">
        <v>57</v>
      </c>
      <c r="B483" s="2" t="s">
        <v>67</v>
      </c>
      <c r="C483" s="2" t="s">
        <v>111</v>
      </c>
      <c r="D483" s="2" t="s">
        <v>1078</v>
      </c>
      <c r="E483" s="4">
        <v>2294</v>
      </c>
      <c r="F483" s="7" t="s">
        <v>112</v>
      </c>
      <c r="G483" s="7">
        <v>300</v>
      </c>
      <c r="H483" s="7" t="s">
        <v>1125</v>
      </c>
      <c r="I483" s="7" t="s">
        <v>1126</v>
      </c>
      <c r="J483" s="7" t="s">
        <v>1785</v>
      </c>
      <c r="K483" s="7" t="s">
        <v>1127</v>
      </c>
      <c r="L483" s="7">
        <v>45880</v>
      </c>
      <c r="M483" s="1">
        <v>41548</v>
      </c>
      <c r="N483" s="4">
        <v>10</v>
      </c>
      <c r="O483" s="2" t="s">
        <v>66</v>
      </c>
      <c r="P483" s="4">
        <v>2013</v>
      </c>
      <c r="Q483" t="str">
        <f>IF(Table1[[#This Row],[UnitsSold]]&gt;3000,"Large",IF(Table1[[#This Row],[UnitsSold]]&gt;1500,"Midium","Small"))</f>
        <v>Midium</v>
      </c>
    </row>
    <row r="484" spans="1:17" x14ac:dyDescent="0.3">
      <c r="A484" s="2" t="s">
        <v>7</v>
      </c>
      <c r="B484" s="2" t="s">
        <v>8</v>
      </c>
      <c r="C484" s="2" t="s">
        <v>111</v>
      </c>
      <c r="D484" s="2" t="s">
        <v>1078</v>
      </c>
      <c r="E484" s="4">
        <v>2167</v>
      </c>
      <c r="F484" s="7" t="s">
        <v>112</v>
      </c>
      <c r="G484" s="7">
        <v>15</v>
      </c>
      <c r="H484" s="7" t="s">
        <v>1104</v>
      </c>
      <c r="I484" s="7" t="s">
        <v>1105</v>
      </c>
      <c r="J484" s="7">
        <v>29254.5</v>
      </c>
      <c r="K484" s="7" t="s">
        <v>1106</v>
      </c>
      <c r="L484" s="7">
        <v>7584.5</v>
      </c>
      <c r="M484" s="1">
        <v>41548</v>
      </c>
      <c r="N484" s="4">
        <v>10</v>
      </c>
      <c r="O484" s="2" t="s">
        <v>66</v>
      </c>
      <c r="P484" s="4">
        <v>2013</v>
      </c>
      <c r="Q484" t="str">
        <f>IF(Table1[[#This Row],[UnitsSold]]&gt;3000,"Large",IF(Table1[[#This Row],[UnitsSold]]&gt;1500,"Midium","Small"))</f>
        <v>Midium</v>
      </c>
    </row>
    <row r="485" spans="1:17" x14ac:dyDescent="0.3">
      <c r="A485" s="2" t="s">
        <v>10</v>
      </c>
      <c r="B485" s="2" t="s">
        <v>5</v>
      </c>
      <c r="C485" s="2" t="s">
        <v>111</v>
      </c>
      <c r="D485" s="2" t="s">
        <v>1078</v>
      </c>
      <c r="E485" s="4">
        <v>2529</v>
      </c>
      <c r="F485" s="7" t="s">
        <v>112</v>
      </c>
      <c r="G485" s="7">
        <v>125</v>
      </c>
      <c r="H485" s="7" t="s">
        <v>1147</v>
      </c>
      <c r="I485" s="7" t="s">
        <v>1148</v>
      </c>
      <c r="J485" s="7" t="s">
        <v>1790</v>
      </c>
      <c r="K485" s="7" t="s">
        <v>1149</v>
      </c>
      <c r="L485" s="7">
        <v>18967.5</v>
      </c>
      <c r="M485" s="1">
        <v>41944</v>
      </c>
      <c r="N485" s="4">
        <v>11</v>
      </c>
      <c r="O485" s="2" t="s">
        <v>94</v>
      </c>
      <c r="P485" s="4">
        <v>2014</v>
      </c>
      <c r="Q485" t="str">
        <f>IF(Table1[[#This Row],[UnitsSold]]&gt;3000,"Large",IF(Table1[[#This Row],[UnitsSold]]&gt;1500,"Midium","Small"))</f>
        <v>Midium</v>
      </c>
    </row>
    <row r="486" spans="1:17" x14ac:dyDescent="0.3">
      <c r="A486" s="2" t="s">
        <v>4</v>
      </c>
      <c r="B486" s="2" t="s">
        <v>6</v>
      </c>
      <c r="C486" s="2" t="s">
        <v>111</v>
      </c>
      <c r="D486" s="2" t="s">
        <v>1078</v>
      </c>
      <c r="E486" s="4">
        <v>1870</v>
      </c>
      <c r="F486" s="7" t="s">
        <v>112</v>
      </c>
      <c r="G486" s="7">
        <v>350</v>
      </c>
      <c r="H486" s="7" t="s">
        <v>1150</v>
      </c>
      <c r="I486" s="7" t="s">
        <v>1151</v>
      </c>
      <c r="J486" s="7" t="s">
        <v>1791</v>
      </c>
      <c r="K486" s="7" t="s">
        <v>1152</v>
      </c>
      <c r="L486" s="7" t="s">
        <v>1894</v>
      </c>
      <c r="M486" s="1">
        <v>41609</v>
      </c>
      <c r="N486" s="4">
        <v>12</v>
      </c>
      <c r="O486" s="2" t="s">
        <v>41</v>
      </c>
      <c r="P486" s="4">
        <v>2013</v>
      </c>
      <c r="Q486" t="str">
        <f>IF(Table1[[#This Row],[UnitsSold]]&gt;3000,"Large",IF(Table1[[#This Row],[UnitsSold]]&gt;1500,"Midium","Small"))</f>
        <v>Midium</v>
      </c>
    </row>
    <row r="487" spans="1:17" x14ac:dyDescent="0.3">
      <c r="A487" s="2" t="s">
        <v>10</v>
      </c>
      <c r="B487" s="2" t="s">
        <v>67</v>
      </c>
      <c r="C487" s="2" t="s">
        <v>122</v>
      </c>
      <c r="D487" s="2" t="s">
        <v>1078</v>
      </c>
      <c r="E487" s="4">
        <v>579</v>
      </c>
      <c r="F487" s="7" t="s">
        <v>123</v>
      </c>
      <c r="G487" s="7">
        <v>125</v>
      </c>
      <c r="H487" s="7" t="s">
        <v>1153</v>
      </c>
      <c r="I487" s="7" t="s">
        <v>1154</v>
      </c>
      <c r="J487" s="7">
        <v>65137.5</v>
      </c>
      <c r="K487" s="7" t="s">
        <v>1155</v>
      </c>
      <c r="L487" s="7">
        <v>4342.5</v>
      </c>
      <c r="M487" s="1">
        <v>41640</v>
      </c>
      <c r="N487" s="4">
        <v>1</v>
      </c>
      <c r="O487" s="2" t="s">
        <v>29</v>
      </c>
      <c r="P487" s="4">
        <v>2014</v>
      </c>
      <c r="Q487" t="str">
        <f>IF(Table1[[#This Row],[UnitsSold]]&gt;3000,"Large",IF(Table1[[#This Row],[UnitsSold]]&gt;1500,"Midium","Small"))</f>
        <v>Small</v>
      </c>
    </row>
    <row r="488" spans="1:17" x14ac:dyDescent="0.3">
      <c r="A488" s="2" t="s">
        <v>4</v>
      </c>
      <c r="B488" s="2" t="s">
        <v>5</v>
      </c>
      <c r="C488" s="2" t="s">
        <v>122</v>
      </c>
      <c r="D488" s="2" t="s">
        <v>1078</v>
      </c>
      <c r="E488" s="4">
        <v>2240</v>
      </c>
      <c r="F488" s="7" t="s">
        <v>123</v>
      </c>
      <c r="G488" s="7">
        <v>350</v>
      </c>
      <c r="H488" s="7" t="s">
        <v>1156</v>
      </c>
      <c r="I488" s="7" t="s">
        <v>1157</v>
      </c>
      <c r="J488" s="7" t="s">
        <v>1792</v>
      </c>
      <c r="K488" s="7" t="s">
        <v>1158</v>
      </c>
      <c r="L488" s="7" t="s">
        <v>1895</v>
      </c>
      <c r="M488" s="1">
        <v>41671</v>
      </c>
      <c r="N488" s="4">
        <v>2</v>
      </c>
      <c r="O488" s="2" t="s">
        <v>74</v>
      </c>
      <c r="P488" s="4">
        <v>2014</v>
      </c>
      <c r="Q488" t="str">
        <f>IF(Table1[[#This Row],[UnitsSold]]&gt;3000,"Large",IF(Table1[[#This Row],[UnitsSold]]&gt;1500,"Midium","Small"))</f>
        <v>Midium</v>
      </c>
    </row>
    <row r="489" spans="1:17" x14ac:dyDescent="0.3">
      <c r="A489" s="2" t="s">
        <v>57</v>
      </c>
      <c r="B489" s="2" t="s">
        <v>67</v>
      </c>
      <c r="C489" s="2" t="s">
        <v>122</v>
      </c>
      <c r="D489" s="2" t="s">
        <v>1078</v>
      </c>
      <c r="E489" s="4">
        <v>2993</v>
      </c>
      <c r="F489" s="7" t="s">
        <v>123</v>
      </c>
      <c r="G489" s="7">
        <v>300</v>
      </c>
      <c r="H489" s="7" t="s">
        <v>1159</v>
      </c>
      <c r="I489" s="7" t="s">
        <v>1160</v>
      </c>
      <c r="J489" s="7" t="s">
        <v>1793</v>
      </c>
      <c r="K489" s="7" t="s">
        <v>1161</v>
      </c>
      <c r="L489" s="7">
        <v>59860</v>
      </c>
      <c r="M489" s="1">
        <v>41699</v>
      </c>
      <c r="N489" s="4">
        <v>3</v>
      </c>
      <c r="O489" s="2" t="s">
        <v>46</v>
      </c>
      <c r="P489" s="4">
        <v>2014</v>
      </c>
      <c r="Q489" t="str">
        <f>IF(Table1[[#This Row],[UnitsSold]]&gt;3000,"Large",IF(Table1[[#This Row],[UnitsSold]]&gt;1500,"Midium","Small"))</f>
        <v>Midium</v>
      </c>
    </row>
    <row r="490" spans="1:17" x14ac:dyDescent="0.3">
      <c r="A490" s="2" t="s">
        <v>47</v>
      </c>
      <c r="B490" s="2" t="s">
        <v>5</v>
      </c>
      <c r="C490" s="2" t="s">
        <v>122</v>
      </c>
      <c r="D490" s="2" t="s">
        <v>1078</v>
      </c>
      <c r="E490" s="4">
        <v>3520.5</v>
      </c>
      <c r="F490" s="7" t="s">
        <v>123</v>
      </c>
      <c r="G490" s="7">
        <v>12</v>
      </c>
      <c r="H490" s="7" t="s">
        <v>1162</v>
      </c>
      <c r="I490" s="7" t="s">
        <v>1163</v>
      </c>
      <c r="J490" s="7">
        <v>38021.4</v>
      </c>
      <c r="K490" s="7" t="s">
        <v>1164</v>
      </c>
      <c r="L490" s="7">
        <v>27459.9</v>
      </c>
      <c r="M490" s="1">
        <v>41730</v>
      </c>
      <c r="N490" s="4">
        <v>4</v>
      </c>
      <c r="O490" s="2" t="s">
        <v>117</v>
      </c>
      <c r="P490" s="4">
        <v>2014</v>
      </c>
      <c r="Q490" t="str">
        <f>IF(Table1[[#This Row],[UnitsSold]]&gt;3000,"Large",IF(Table1[[#This Row],[UnitsSold]]&gt;1500,"Midium","Small"))</f>
        <v>Large</v>
      </c>
    </row>
    <row r="491" spans="1:17" x14ac:dyDescent="0.3">
      <c r="A491" s="2" t="s">
        <v>4</v>
      </c>
      <c r="B491" s="2" t="s">
        <v>9</v>
      </c>
      <c r="C491" s="2" t="s">
        <v>122</v>
      </c>
      <c r="D491" s="2" t="s">
        <v>1078</v>
      </c>
      <c r="E491" s="4">
        <v>2039</v>
      </c>
      <c r="F491" s="7" t="s">
        <v>123</v>
      </c>
      <c r="G491" s="7">
        <v>20</v>
      </c>
      <c r="H491" s="7" t="s">
        <v>1165</v>
      </c>
      <c r="I491" s="7" t="s">
        <v>1166</v>
      </c>
      <c r="J491" s="7">
        <v>36702</v>
      </c>
      <c r="K491" s="7" t="s">
        <v>1167</v>
      </c>
      <c r="L491" s="7">
        <v>16312</v>
      </c>
      <c r="M491" s="1">
        <v>41760</v>
      </c>
      <c r="N491" s="4">
        <v>5</v>
      </c>
      <c r="O491" s="2" t="s">
        <v>145</v>
      </c>
      <c r="P491" s="4">
        <v>2014</v>
      </c>
      <c r="Q491" t="str">
        <f>IF(Table1[[#This Row],[UnitsSold]]&gt;3000,"Large",IF(Table1[[#This Row],[UnitsSold]]&gt;1500,"Midium","Small"))</f>
        <v>Midium</v>
      </c>
    </row>
    <row r="492" spans="1:17" x14ac:dyDescent="0.3">
      <c r="A492" s="2" t="s">
        <v>47</v>
      </c>
      <c r="B492" s="2" t="s">
        <v>6</v>
      </c>
      <c r="C492" s="2" t="s">
        <v>122</v>
      </c>
      <c r="D492" s="2" t="s">
        <v>1078</v>
      </c>
      <c r="E492" s="4">
        <v>2574</v>
      </c>
      <c r="F492" s="7" t="s">
        <v>123</v>
      </c>
      <c r="G492" s="7">
        <v>12</v>
      </c>
      <c r="H492" s="7" t="s">
        <v>1169</v>
      </c>
      <c r="I492" s="7" t="s">
        <v>1170</v>
      </c>
      <c r="J492" s="7">
        <v>27799.200000000001</v>
      </c>
      <c r="K492" s="7" t="s">
        <v>1171</v>
      </c>
      <c r="L492" s="7">
        <v>20077.2</v>
      </c>
      <c r="M492" s="1">
        <v>41852</v>
      </c>
      <c r="N492" s="4">
        <v>8</v>
      </c>
      <c r="O492" s="2" t="s">
        <v>60</v>
      </c>
      <c r="P492" s="4">
        <v>2014</v>
      </c>
      <c r="Q492" t="str">
        <f>IF(Table1[[#This Row],[UnitsSold]]&gt;3000,"Large",IF(Table1[[#This Row],[UnitsSold]]&gt;1500,"Midium","Small"))</f>
        <v>Midium</v>
      </c>
    </row>
    <row r="493" spans="1:17" x14ac:dyDescent="0.3">
      <c r="A493" s="2" t="s">
        <v>4</v>
      </c>
      <c r="B493" s="2" t="s">
        <v>5</v>
      </c>
      <c r="C493" s="2" t="s">
        <v>122</v>
      </c>
      <c r="D493" s="2" t="s">
        <v>1078</v>
      </c>
      <c r="E493" s="4">
        <v>707</v>
      </c>
      <c r="F493" s="7" t="s">
        <v>123</v>
      </c>
      <c r="G493" s="7">
        <v>350</v>
      </c>
      <c r="H493" s="7" t="s">
        <v>1172</v>
      </c>
      <c r="I493" s="7" t="s">
        <v>1173</v>
      </c>
      <c r="J493" s="7" t="s">
        <v>1794</v>
      </c>
      <c r="K493" s="7" t="s">
        <v>1174</v>
      </c>
      <c r="L493" s="7">
        <v>38885</v>
      </c>
      <c r="M493" s="1">
        <v>41883</v>
      </c>
      <c r="N493" s="4">
        <v>9</v>
      </c>
      <c r="O493" s="2" t="s">
        <v>63</v>
      </c>
      <c r="P493" s="4">
        <v>2014</v>
      </c>
      <c r="Q493" t="str">
        <f>IF(Table1[[#This Row],[UnitsSold]]&gt;3000,"Large",IF(Table1[[#This Row],[UnitsSold]]&gt;1500,"Midium","Small"))</f>
        <v>Small</v>
      </c>
    </row>
    <row r="494" spans="1:17" x14ac:dyDescent="0.3">
      <c r="A494" s="2" t="s">
        <v>7</v>
      </c>
      <c r="B494" s="2" t="s">
        <v>8</v>
      </c>
      <c r="C494" s="2" t="s">
        <v>122</v>
      </c>
      <c r="D494" s="2" t="s">
        <v>1078</v>
      </c>
      <c r="E494" s="4">
        <v>2072</v>
      </c>
      <c r="F494" s="7" t="s">
        <v>123</v>
      </c>
      <c r="G494" s="7">
        <v>15</v>
      </c>
      <c r="H494" s="7" t="s">
        <v>1095</v>
      </c>
      <c r="I494" s="7" t="s">
        <v>1096</v>
      </c>
      <c r="J494" s="7">
        <v>27972</v>
      </c>
      <c r="K494" s="7" t="s">
        <v>1097</v>
      </c>
      <c r="L494" s="7">
        <v>7252</v>
      </c>
      <c r="M494" s="1">
        <v>41974</v>
      </c>
      <c r="N494" s="4">
        <v>12</v>
      </c>
      <c r="O494" s="2" t="s">
        <v>41</v>
      </c>
      <c r="P494" s="4">
        <v>2014</v>
      </c>
      <c r="Q494" t="str">
        <f>IF(Table1[[#This Row],[UnitsSold]]&gt;3000,"Large",IF(Table1[[#This Row],[UnitsSold]]&gt;1500,"Midium","Small"))</f>
        <v>Midium</v>
      </c>
    </row>
    <row r="495" spans="1:17" x14ac:dyDescent="0.3">
      <c r="A495" s="2" t="s">
        <v>57</v>
      </c>
      <c r="B495" s="2" t="s">
        <v>8</v>
      </c>
      <c r="C495" s="2" t="s">
        <v>122</v>
      </c>
      <c r="D495" s="2" t="s">
        <v>1078</v>
      </c>
      <c r="E495" s="4">
        <v>853</v>
      </c>
      <c r="F495" s="7" t="s">
        <v>123</v>
      </c>
      <c r="G495" s="7">
        <v>300</v>
      </c>
      <c r="H495" s="7" t="s">
        <v>1133</v>
      </c>
      <c r="I495" s="7" t="s">
        <v>1134</v>
      </c>
      <c r="J495" s="7" t="s">
        <v>1787</v>
      </c>
      <c r="K495" s="7" t="s">
        <v>379</v>
      </c>
      <c r="L495" s="7">
        <v>17060</v>
      </c>
      <c r="M495" s="1">
        <v>41974</v>
      </c>
      <c r="N495" s="4">
        <v>12</v>
      </c>
      <c r="O495" s="2" t="s">
        <v>41</v>
      </c>
      <c r="P495" s="4">
        <v>2014</v>
      </c>
      <c r="Q495" t="str">
        <f>IF(Table1[[#This Row],[UnitsSold]]&gt;3000,"Large",IF(Table1[[#This Row],[UnitsSold]]&gt;1500,"Midium","Small"))</f>
        <v>Small</v>
      </c>
    </row>
    <row r="496" spans="1:17" x14ac:dyDescent="0.3">
      <c r="A496" s="2" t="s">
        <v>47</v>
      </c>
      <c r="B496" s="2" t="s">
        <v>8</v>
      </c>
      <c r="C496" s="2" t="s">
        <v>23</v>
      </c>
      <c r="D496" s="2" t="s">
        <v>1078</v>
      </c>
      <c r="E496" s="4">
        <v>1198</v>
      </c>
      <c r="F496" s="7" t="s">
        <v>25</v>
      </c>
      <c r="G496" s="7">
        <v>12</v>
      </c>
      <c r="H496" s="7" t="s">
        <v>1175</v>
      </c>
      <c r="I496" s="7" t="s">
        <v>1176</v>
      </c>
      <c r="J496" s="7">
        <v>12794.64</v>
      </c>
      <c r="K496" s="7" t="s">
        <v>1177</v>
      </c>
      <c r="L496" s="7">
        <v>9200.64</v>
      </c>
      <c r="M496" s="1">
        <v>41548</v>
      </c>
      <c r="N496" s="4">
        <v>10</v>
      </c>
      <c r="O496" s="2" t="s">
        <v>66</v>
      </c>
      <c r="P496" s="4">
        <v>2013</v>
      </c>
      <c r="Q496" t="str">
        <f>IF(Table1[[#This Row],[UnitsSold]]&gt;3000,"Large",IF(Table1[[#This Row],[UnitsSold]]&gt;1500,"Midium","Small"))</f>
        <v>Small</v>
      </c>
    </row>
    <row r="497" spans="1:17" x14ac:dyDescent="0.3">
      <c r="A497" s="2" t="s">
        <v>4</v>
      </c>
      <c r="B497" s="2" t="s">
        <v>8</v>
      </c>
      <c r="C497" s="2" t="s">
        <v>70</v>
      </c>
      <c r="D497" s="2" t="s">
        <v>1078</v>
      </c>
      <c r="E497" s="4">
        <v>2532</v>
      </c>
      <c r="F497" s="7" t="s">
        <v>71</v>
      </c>
      <c r="G497" s="7">
        <v>7</v>
      </c>
      <c r="H497" s="7" t="s">
        <v>1178</v>
      </c>
      <c r="I497" s="7" t="s">
        <v>1179</v>
      </c>
      <c r="J497" s="7">
        <v>15774.36</v>
      </c>
      <c r="K497" s="7" t="s">
        <v>312</v>
      </c>
      <c r="L497" s="7">
        <v>3114.36</v>
      </c>
      <c r="M497" s="1">
        <v>41730</v>
      </c>
      <c r="N497" s="4">
        <v>4</v>
      </c>
      <c r="O497" s="2" t="s">
        <v>117</v>
      </c>
      <c r="P497" s="4">
        <v>2014</v>
      </c>
      <c r="Q497" t="str">
        <f>IF(Table1[[#This Row],[UnitsSold]]&gt;3000,"Large",IF(Table1[[#This Row],[UnitsSold]]&gt;1500,"Midium","Small"))</f>
        <v>Midium</v>
      </c>
    </row>
    <row r="498" spans="1:17" x14ac:dyDescent="0.3">
      <c r="A498" s="2" t="s">
        <v>47</v>
      </c>
      <c r="B498" s="2" t="s">
        <v>8</v>
      </c>
      <c r="C498" s="2" t="s">
        <v>70</v>
      </c>
      <c r="D498" s="2" t="s">
        <v>1078</v>
      </c>
      <c r="E498" s="4">
        <v>1198</v>
      </c>
      <c r="F498" s="7" t="s">
        <v>71</v>
      </c>
      <c r="G498" s="7">
        <v>12</v>
      </c>
      <c r="H498" s="7" t="s">
        <v>1175</v>
      </c>
      <c r="I498" s="7" t="s">
        <v>1176</v>
      </c>
      <c r="J498" s="7">
        <v>12794.64</v>
      </c>
      <c r="K498" s="7" t="s">
        <v>1177</v>
      </c>
      <c r="L498" s="7">
        <v>9200.64</v>
      </c>
      <c r="M498" s="1">
        <v>41548</v>
      </c>
      <c r="N498" s="4">
        <v>10</v>
      </c>
      <c r="O498" s="2" t="s">
        <v>66</v>
      </c>
      <c r="P498" s="4">
        <v>2013</v>
      </c>
      <c r="Q498" t="str">
        <f>IF(Table1[[#This Row],[UnitsSold]]&gt;3000,"Large",IF(Table1[[#This Row],[UnitsSold]]&gt;1500,"Midium","Small"))</f>
        <v>Small</v>
      </c>
    </row>
    <row r="499" spans="1:17" x14ac:dyDescent="0.3">
      <c r="A499" s="2" t="s">
        <v>7</v>
      </c>
      <c r="B499" s="2" t="s">
        <v>5</v>
      </c>
      <c r="C499" s="2" t="s">
        <v>101</v>
      </c>
      <c r="D499" s="2" t="s">
        <v>1078</v>
      </c>
      <c r="E499" s="4">
        <v>384</v>
      </c>
      <c r="F499" s="7" t="s">
        <v>102</v>
      </c>
      <c r="G499" s="7">
        <v>15</v>
      </c>
      <c r="H499" s="7" t="s">
        <v>1180</v>
      </c>
      <c r="I499" s="7" t="s">
        <v>1181</v>
      </c>
      <c r="J499" s="7">
        <v>5126.3999999999996</v>
      </c>
      <c r="K499" s="7" t="s">
        <v>1182</v>
      </c>
      <c r="L499" s="7">
        <v>1286.4000000000001</v>
      </c>
      <c r="M499" s="1">
        <v>41640</v>
      </c>
      <c r="N499" s="4">
        <v>1</v>
      </c>
      <c r="O499" s="2" t="s">
        <v>29</v>
      </c>
      <c r="P499" s="4">
        <v>2014</v>
      </c>
      <c r="Q499" t="str">
        <f>IF(Table1[[#This Row],[UnitsSold]]&gt;3000,"Large",IF(Table1[[#This Row],[UnitsSold]]&gt;1500,"Midium","Small"))</f>
        <v>Small</v>
      </c>
    </row>
    <row r="500" spans="1:17" x14ac:dyDescent="0.3">
      <c r="A500" s="2" t="s">
        <v>47</v>
      </c>
      <c r="B500" s="2" t="s">
        <v>6</v>
      </c>
      <c r="C500" s="2" t="s">
        <v>101</v>
      </c>
      <c r="D500" s="2" t="s">
        <v>1078</v>
      </c>
      <c r="E500" s="4">
        <v>472</v>
      </c>
      <c r="F500" s="7" t="s">
        <v>102</v>
      </c>
      <c r="G500" s="7">
        <v>12</v>
      </c>
      <c r="H500" s="7" t="s">
        <v>1183</v>
      </c>
      <c r="I500" s="7" t="s">
        <v>1184</v>
      </c>
      <c r="J500" s="7">
        <v>5040.96</v>
      </c>
      <c r="K500" s="7" t="s">
        <v>1185</v>
      </c>
      <c r="L500" s="7">
        <v>3624.96</v>
      </c>
      <c r="M500" s="1">
        <v>41913</v>
      </c>
      <c r="N500" s="4">
        <v>10</v>
      </c>
      <c r="O500" s="2" t="s">
        <v>66</v>
      </c>
      <c r="P500" s="4">
        <v>2014</v>
      </c>
      <c r="Q500" t="str">
        <f>IF(Table1[[#This Row],[UnitsSold]]&gt;3000,"Large",IF(Table1[[#This Row],[UnitsSold]]&gt;1500,"Midium","Small"))</f>
        <v>Small</v>
      </c>
    </row>
    <row r="501" spans="1:17" x14ac:dyDescent="0.3">
      <c r="A501" s="2" t="s">
        <v>4</v>
      </c>
      <c r="B501" s="2" t="s">
        <v>67</v>
      </c>
      <c r="C501" s="2" t="s">
        <v>111</v>
      </c>
      <c r="D501" s="2" t="s">
        <v>1078</v>
      </c>
      <c r="E501" s="4">
        <v>1579</v>
      </c>
      <c r="F501" s="7" t="s">
        <v>112</v>
      </c>
      <c r="G501" s="7">
        <v>7</v>
      </c>
      <c r="H501" s="7" t="s">
        <v>1186</v>
      </c>
      <c r="I501" s="7" t="s">
        <v>1187</v>
      </c>
      <c r="J501" s="7">
        <v>9837.17</v>
      </c>
      <c r="K501" s="7" t="s">
        <v>1188</v>
      </c>
      <c r="L501" s="7">
        <v>1942.17</v>
      </c>
      <c r="M501" s="1">
        <v>41699</v>
      </c>
      <c r="N501" s="4">
        <v>3</v>
      </c>
      <c r="O501" s="2" t="s">
        <v>46</v>
      </c>
      <c r="P501" s="4">
        <v>2014</v>
      </c>
      <c r="Q501" t="str">
        <f>IF(Table1[[#This Row],[UnitsSold]]&gt;3000,"Large",IF(Table1[[#This Row],[UnitsSold]]&gt;1500,"Midium","Small"))</f>
        <v>Midium</v>
      </c>
    </row>
    <row r="502" spans="1:17" x14ac:dyDescent="0.3">
      <c r="A502" s="2" t="s">
        <v>47</v>
      </c>
      <c r="B502" s="2" t="s">
        <v>9</v>
      </c>
      <c r="C502" s="2" t="s">
        <v>111</v>
      </c>
      <c r="D502" s="2" t="s">
        <v>1078</v>
      </c>
      <c r="E502" s="4">
        <v>1005</v>
      </c>
      <c r="F502" s="7" t="s">
        <v>112</v>
      </c>
      <c r="G502" s="7">
        <v>12</v>
      </c>
      <c r="H502" s="7" t="s">
        <v>1189</v>
      </c>
      <c r="I502" s="7" t="s">
        <v>1190</v>
      </c>
      <c r="J502" s="7">
        <v>10733.4</v>
      </c>
      <c r="K502" s="7" t="s">
        <v>1191</v>
      </c>
      <c r="L502" s="7">
        <v>7718.4</v>
      </c>
      <c r="M502" s="1">
        <v>41518</v>
      </c>
      <c r="N502" s="4">
        <v>9</v>
      </c>
      <c r="O502" s="2" t="s">
        <v>63</v>
      </c>
      <c r="P502" s="4">
        <v>2013</v>
      </c>
      <c r="Q502" t="str">
        <f>IF(Table1[[#This Row],[UnitsSold]]&gt;3000,"Large",IF(Table1[[#This Row],[UnitsSold]]&gt;1500,"Midium","Small"))</f>
        <v>Small</v>
      </c>
    </row>
    <row r="503" spans="1:17" x14ac:dyDescent="0.3">
      <c r="A503" s="2" t="s">
        <v>7</v>
      </c>
      <c r="B503" s="2" t="s">
        <v>67</v>
      </c>
      <c r="C503" s="2" t="s">
        <v>122</v>
      </c>
      <c r="D503" s="2" t="s">
        <v>1078</v>
      </c>
      <c r="E503" s="4">
        <v>3199.5</v>
      </c>
      <c r="F503" s="7" t="s">
        <v>123</v>
      </c>
      <c r="G503" s="7">
        <v>15</v>
      </c>
      <c r="H503" s="7" t="s">
        <v>1192</v>
      </c>
      <c r="I503" s="7" t="s">
        <v>1193</v>
      </c>
      <c r="J503" s="7">
        <v>42713.33</v>
      </c>
      <c r="K503" s="7" t="s">
        <v>1194</v>
      </c>
      <c r="L503" s="7">
        <v>10718.33</v>
      </c>
      <c r="M503" s="1">
        <v>41821</v>
      </c>
      <c r="N503" s="4">
        <v>7</v>
      </c>
      <c r="O503" s="2" t="s">
        <v>56</v>
      </c>
      <c r="P503" s="4">
        <v>2014</v>
      </c>
      <c r="Q503" t="str">
        <f>IF(Table1[[#This Row],[UnitsSold]]&gt;3000,"Large",IF(Table1[[#This Row],[UnitsSold]]&gt;1500,"Midium","Small"))</f>
        <v>Large</v>
      </c>
    </row>
    <row r="504" spans="1:17" x14ac:dyDescent="0.3">
      <c r="A504" s="2" t="s">
        <v>47</v>
      </c>
      <c r="B504" s="2" t="s">
        <v>6</v>
      </c>
      <c r="C504" s="2" t="s">
        <v>122</v>
      </c>
      <c r="D504" s="2" t="s">
        <v>1078</v>
      </c>
      <c r="E504" s="4">
        <v>472</v>
      </c>
      <c r="F504" s="7" t="s">
        <v>123</v>
      </c>
      <c r="G504" s="7">
        <v>12</v>
      </c>
      <c r="H504" s="7" t="s">
        <v>1183</v>
      </c>
      <c r="I504" s="7" t="s">
        <v>1184</v>
      </c>
      <c r="J504" s="7">
        <v>5040.96</v>
      </c>
      <c r="K504" s="7" t="s">
        <v>1185</v>
      </c>
      <c r="L504" s="7">
        <v>3624.96</v>
      </c>
      <c r="M504" s="1">
        <v>41913</v>
      </c>
      <c r="N504" s="4">
        <v>10</v>
      </c>
      <c r="O504" s="2" t="s">
        <v>66</v>
      </c>
      <c r="P504" s="4">
        <v>2014</v>
      </c>
      <c r="Q504" t="str">
        <f>IF(Table1[[#This Row],[UnitsSold]]&gt;3000,"Large",IF(Table1[[#This Row],[UnitsSold]]&gt;1500,"Midium","Small"))</f>
        <v>Small</v>
      </c>
    </row>
    <row r="505" spans="1:17" x14ac:dyDescent="0.3">
      <c r="A505" s="2" t="s">
        <v>47</v>
      </c>
      <c r="B505" s="2" t="s">
        <v>5</v>
      </c>
      <c r="C505" s="2" t="s">
        <v>23</v>
      </c>
      <c r="D505" s="2" t="s">
        <v>1078</v>
      </c>
      <c r="E505" s="4">
        <v>1937</v>
      </c>
      <c r="F505" s="7" t="s">
        <v>25</v>
      </c>
      <c r="G505" s="7">
        <v>12</v>
      </c>
      <c r="H505" s="7" t="s">
        <v>1195</v>
      </c>
      <c r="I505" s="7" t="s">
        <v>1196</v>
      </c>
      <c r="J505" s="7">
        <v>20687.16</v>
      </c>
      <c r="K505" s="7" t="s">
        <v>1197</v>
      </c>
      <c r="L505" s="7">
        <v>14876.16</v>
      </c>
      <c r="M505" s="1">
        <v>41671</v>
      </c>
      <c r="N505" s="4">
        <v>2</v>
      </c>
      <c r="O505" s="2" t="s">
        <v>74</v>
      </c>
      <c r="P505" s="4">
        <v>2014</v>
      </c>
      <c r="Q505" t="str">
        <f>IF(Table1[[#This Row],[UnitsSold]]&gt;3000,"Large",IF(Table1[[#This Row],[UnitsSold]]&gt;1500,"Midium","Small"))</f>
        <v>Midium</v>
      </c>
    </row>
    <row r="506" spans="1:17" x14ac:dyDescent="0.3">
      <c r="A506" s="2" t="s">
        <v>4</v>
      </c>
      <c r="B506" s="2" t="s">
        <v>6</v>
      </c>
      <c r="C506" s="2" t="s">
        <v>23</v>
      </c>
      <c r="D506" s="2" t="s">
        <v>1078</v>
      </c>
      <c r="E506" s="4">
        <v>792</v>
      </c>
      <c r="F506" s="7" t="s">
        <v>25</v>
      </c>
      <c r="G506" s="7">
        <v>350</v>
      </c>
      <c r="H506" s="7" t="s">
        <v>1198</v>
      </c>
      <c r="I506" s="7" t="s">
        <v>1199</v>
      </c>
      <c r="J506" s="7" t="s">
        <v>1795</v>
      </c>
      <c r="K506" s="7" t="s">
        <v>1200</v>
      </c>
      <c r="L506" s="7">
        <v>40788</v>
      </c>
      <c r="M506" s="1">
        <v>41699</v>
      </c>
      <c r="N506" s="4">
        <v>3</v>
      </c>
      <c r="O506" s="2" t="s">
        <v>46</v>
      </c>
      <c r="P506" s="4">
        <v>2014</v>
      </c>
      <c r="Q506" t="str">
        <f>IF(Table1[[#This Row],[UnitsSold]]&gt;3000,"Large",IF(Table1[[#This Row],[UnitsSold]]&gt;1500,"Midium","Small"))</f>
        <v>Small</v>
      </c>
    </row>
    <row r="507" spans="1:17" x14ac:dyDescent="0.3">
      <c r="A507" s="2" t="s">
        <v>57</v>
      </c>
      <c r="B507" s="2" t="s">
        <v>6</v>
      </c>
      <c r="C507" s="2" t="s">
        <v>23</v>
      </c>
      <c r="D507" s="2" t="s">
        <v>1078</v>
      </c>
      <c r="E507" s="4">
        <v>2811</v>
      </c>
      <c r="F507" s="7" t="s">
        <v>25</v>
      </c>
      <c r="G507" s="7">
        <v>300</v>
      </c>
      <c r="H507" s="7" t="s">
        <v>1201</v>
      </c>
      <c r="I507" s="7" t="s">
        <v>1202</v>
      </c>
      <c r="J507" s="7" t="s">
        <v>1796</v>
      </c>
      <c r="K507" s="7" t="s">
        <v>1203</v>
      </c>
      <c r="L507" s="7">
        <v>47787</v>
      </c>
      <c r="M507" s="1">
        <v>41821</v>
      </c>
      <c r="N507" s="4">
        <v>7</v>
      </c>
      <c r="O507" s="2" t="s">
        <v>56</v>
      </c>
      <c r="P507" s="4">
        <v>2014</v>
      </c>
      <c r="Q507" t="str">
        <f>IF(Table1[[#This Row],[UnitsSold]]&gt;3000,"Large",IF(Table1[[#This Row],[UnitsSold]]&gt;1500,"Midium","Small"))</f>
        <v>Midium</v>
      </c>
    </row>
    <row r="508" spans="1:17" x14ac:dyDescent="0.3">
      <c r="A508" s="2" t="s">
        <v>10</v>
      </c>
      <c r="B508" s="2" t="s">
        <v>8</v>
      </c>
      <c r="C508" s="2" t="s">
        <v>23</v>
      </c>
      <c r="D508" s="2" t="s">
        <v>1078</v>
      </c>
      <c r="E508" s="4">
        <v>2441</v>
      </c>
      <c r="F508" s="7" t="s">
        <v>25</v>
      </c>
      <c r="G508" s="7">
        <v>125</v>
      </c>
      <c r="H508" s="7" t="s">
        <v>1204</v>
      </c>
      <c r="I508" s="7" t="s">
        <v>1205</v>
      </c>
      <c r="J508" s="7" t="s">
        <v>1797</v>
      </c>
      <c r="K508" s="7" t="s">
        <v>1206</v>
      </c>
      <c r="L508" s="7">
        <v>21358.75</v>
      </c>
      <c r="M508" s="1">
        <v>41913</v>
      </c>
      <c r="N508" s="4">
        <v>10</v>
      </c>
      <c r="O508" s="2" t="s">
        <v>66</v>
      </c>
      <c r="P508" s="4">
        <v>2014</v>
      </c>
      <c r="Q508" t="str">
        <f>IF(Table1[[#This Row],[UnitsSold]]&gt;3000,"Large",IF(Table1[[#This Row],[UnitsSold]]&gt;1500,"Midium","Small"))</f>
        <v>Midium</v>
      </c>
    </row>
    <row r="509" spans="1:17" x14ac:dyDescent="0.3">
      <c r="A509" s="2" t="s">
        <v>7</v>
      </c>
      <c r="B509" s="2" t="s">
        <v>5</v>
      </c>
      <c r="C509" s="2" t="s">
        <v>23</v>
      </c>
      <c r="D509" s="2" t="s">
        <v>1078</v>
      </c>
      <c r="E509" s="4">
        <v>1560</v>
      </c>
      <c r="F509" s="7" t="s">
        <v>25</v>
      </c>
      <c r="G509" s="7">
        <v>15</v>
      </c>
      <c r="H509" s="7" t="s">
        <v>1207</v>
      </c>
      <c r="I509" s="7" t="s">
        <v>1168</v>
      </c>
      <c r="J509" s="7">
        <v>20826</v>
      </c>
      <c r="K509" s="7" t="s">
        <v>1208</v>
      </c>
      <c r="L509" s="7">
        <v>5226</v>
      </c>
      <c r="M509" s="1">
        <v>41579</v>
      </c>
      <c r="N509" s="4">
        <v>11</v>
      </c>
      <c r="O509" s="2" t="s">
        <v>94</v>
      </c>
      <c r="P509" s="4">
        <v>2013</v>
      </c>
      <c r="Q509" t="str">
        <f>IF(Table1[[#This Row],[UnitsSold]]&gt;3000,"Large",IF(Table1[[#This Row],[UnitsSold]]&gt;1500,"Midium","Small"))</f>
        <v>Midium</v>
      </c>
    </row>
    <row r="510" spans="1:17" x14ac:dyDescent="0.3">
      <c r="A510" s="2" t="s">
        <v>4</v>
      </c>
      <c r="B510" s="2" t="s">
        <v>9</v>
      </c>
      <c r="C510" s="2" t="s">
        <v>23</v>
      </c>
      <c r="D510" s="2" t="s">
        <v>1078</v>
      </c>
      <c r="E510" s="4">
        <v>2706</v>
      </c>
      <c r="F510" s="7" t="s">
        <v>25</v>
      </c>
      <c r="G510" s="7">
        <v>7</v>
      </c>
      <c r="H510" s="7" t="s">
        <v>1209</v>
      </c>
      <c r="I510" s="7" t="s">
        <v>1210</v>
      </c>
      <c r="J510" s="7">
        <v>16858.38</v>
      </c>
      <c r="K510" s="7" t="s">
        <v>1211</v>
      </c>
      <c r="L510" s="7">
        <v>3328.38</v>
      </c>
      <c r="M510" s="1">
        <v>41579</v>
      </c>
      <c r="N510" s="4">
        <v>11</v>
      </c>
      <c r="O510" s="2" t="s">
        <v>94</v>
      </c>
      <c r="P510" s="4">
        <v>2013</v>
      </c>
      <c r="Q510" t="str">
        <f>IF(Table1[[#This Row],[UnitsSold]]&gt;3000,"Large",IF(Table1[[#This Row],[UnitsSold]]&gt;1500,"Midium","Small"))</f>
        <v>Midium</v>
      </c>
    </row>
    <row r="511" spans="1:17" x14ac:dyDescent="0.3">
      <c r="A511" s="2" t="s">
        <v>4</v>
      </c>
      <c r="B511" s="2" t="s">
        <v>6</v>
      </c>
      <c r="C511" s="2" t="s">
        <v>42</v>
      </c>
      <c r="D511" s="2" t="s">
        <v>1078</v>
      </c>
      <c r="E511" s="4">
        <v>766</v>
      </c>
      <c r="F511" s="7" t="s">
        <v>43</v>
      </c>
      <c r="G511" s="7">
        <v>350</v>
      </c>
      <c r="H511" s="7" t="s">
        <v>1212</v>
      </c>
      <c r="I511" s="7" t="s">
        <v>1213</v>
      </c>
      <c r="J511" s="7" t="s">
        <v>1798</v>
      </c>
      <c r="K511" s="7" t="s">
        <v>1214</v>
      </c>
      <c r="L511" s="7">
        <v>39449</v>
      </c>
      <c r="M511" s="1">
        <v>41640</v>
      </c>
      <c r="N511" s="4">
        <v>1</v>
      </c>
      <c r="O511" s="2" t="s">
        <v>29</v>
      </c>
      <c r="P511" s="4">
        <v>2014</v>
      </c>
      <c r="Q511" t="str">
        <f>IF(Table1[[#This Row],[UnitsSold]]&gt;3000,"Large",IF(Table1[[#This Row],[UnitsSold]]&gt;1500,"Midium","Small"))</f>
        <v>Small</v>
      </c>
    </row>
    <row r="512" spans="1:17" x14ac:dyDescent="0.3">
      <c r="A512" s="2" t="s">
        <v>4</v>
      </c>
      <c r="B512" s="2" t="s">
        <v>6</v>
      </c>
      <c r="C512" s="2" t="s">
        <v>42</v>
      </c>
      <c r="D512" s="2" t="s">
        <v>1078</v>
      </c>
      <c r="E512" s="4">
        <v>2992</v>
      </c>
      <c r="F512" s="7" t="s">
        <v>43</v>
      </c>
      <c r="G512" s="7">
        <v>20</v>
      </c>
      <c r="H512" s="7" t="s">
        <v>1215</v>
      </c>
      <c r="I512" s="7" t="s">
        <v>1216</v>
      </c>
      <c r="J512" s="7">
        <v>53257.599999999999</v>
      </c>
      <c r="K512" s="7" t="s">
        <v>1217</v>
      </c>
      <c r="L512" s="7">
        <v>23337.599999999999</v>
      </c>
      <c r="M512" s="1">
        <v>41548</v>
      </c>
      <c r="N512" s="4">
        <v>10</v>
      </c>
      <c r="O512" s="2" t="s">
        <v>66</v>
      </c>
      <c r="P512" s="4">
        <v>2013</v>
      </c>
      <c r="Q512" t="str">
        <f>IF(Table1[[#This Row],[UnitsSold]]&gt;3000,"Large",IF(Table1[[#This Row],[UnitsSold]]&gt;1500,"Midium","Small"))</f>
        <v>Midium</v>
      </c>
    </row>
    <row r="513" spans="1:17" x14ac:dyDescent="0.3">
      <c r="A513" s="2" t="s">
        <v>7</v>
      </c>
      <c r="B513" s="2" t="s">
        <v>9</v>
      </c>
      <c r="C513" s="2" t="s">
        <v>42</v>
      </c>
      <c r="D513" s="2" t="s">
        <v>1078</v>
      </c>
      <c r="E513" s="4">
        <v>2157</v>
      </c>
      <c r="F513" s="7" t="s">
        <v>43</v>
      </c>
      <c r="G513" s="7">
        <v>15</v>
      </c>
      <c r="H513" s="7" t="s">
        <v>1218</v>
      </c>
      <c r="I513" s="7" t="s">
        <v>1219</v>
      </c>
      <c r="J513" s="7">
        <v>28795.95</v>
      </c>
      <c r="K513" s="7" t="s">
        <v>1220</v>
      </c>
      <c r="L513" s="7">
        <v>7225.95</v>
      </c>
      <c r="M513" s="1">
        <v>41974</v>
      </c>
      <c r="N513" s="4">
        <v>12</v>
      </c>
      <c r="O513" s="2" t="s">
        <v>41</v>
      </c>
      <c r="P513" s="4">
        <v>2014</v>
      </c>
      <c r="Q513" t="str">
        <f>IF(Table1[[#This Row],[UnitsSold]]&gt;3000,"Large",IF(Table1[[#This Row],[UnitsSold]]&gt;1500,"Midium","Small"))</f>
        <v>Midium</v>
      </c>
    </row>
    <row r="514" spans="1:17" x14ac:dyDescent="0.3">
      <c r="A514" s="2" t="s">
        <v>57</v>
      </c>
      <c r="B514" s="2" t="s">
        <v>5</v>
      </c>
      <c r="C514" s="2" t="s">
        <v>70</v>
      </c>
      <c r="D514" s="2" t="s">
        <v>1078</v>
      </c>
      <c r="E514" s="4">
        <v>873</v>
      </c>
      <c r="F514" s="7" t="s">
        <v>71</v>
      </c>
      <c r="G514" s="7">
        <v>300</v>
      </c>
      <c r="H514" s="7" t="s">
        <v>1221</v>
      </c>
      <c r="I514" s="7" t="s">
        <v>1222</v>
      </c>
      <c r="J514" s="7" t="s">
        <v>1799</v>
      </c>
      <c r="K514" s="7" t="s">
        <v>1223</v>
      </c>
      <c r="L514" s="7">
        <v>14841</v>
      </c>
      <c r="M514" s="1">
        <v>41640</v>
      </c>
      <c r="N514" s="4">
        <v>1</v>
      </c>
      <c r="O514" s="2" t="s">
        <v>29</v>
      </c>
      <c r="P514" s="4">
        <v>2014</v>
      </c>
      <c r="Q514" t="str">
        <f>IF(Table1[[#This Row],[UnitsSold]]&gt;3000,"Large",IF(Table1[[#This Row],[UnitsSold]]&gt;1500,"Midium","Small"))</f>
        <v>Small</v>
      </c>
    </row>
    <row r="515" spans="1:17" x14ac:dyDescent="0.3">
      <c r="A515" s="2" t="s">
        <v>4</v>
      </c>
      <c r="B515" s="2" t="s">
        <v>9</v>
      </c>
      <c r="C515" s="2" t="s">
        <v>70</v>
      </c>
      <c r="D515" s="2" t="s">
        <v>1078</v>
      </c>
      <c r="E515" s="4">
        <v>1122</v>
      </c>
      <c r="F515" s="7" t="s">
        <v>71</v>
      </c>
      <c r="G515" s="7">
        <v>20</v>
      </c>
      <c r="H515" s="7" t="s">
        <v>1224</v>
      </c>
      <c r="I515" s="7" t="s">
        <v>1225</v>
      </c>
      <c r="J515" s="7">
        <v>19971.599999999999</v>
      </c>
      <c r="K515" s="7" t="s">
        <v>1226</v>
      </c>
      <c r="L515" s="7">
        <v>8751.6</v>
      </c>
      <c r="M515" s="1">
        <v>41699</v>
      </c>
      <c r="N515" s="4">
        <v>3</v>
      </c>
      <c r="O515" s="2" t="s">
        <v>46</v>
      </c>
      <c r="P515" s="4">
        <v>2014</v>
      </c>
      <c r="Q515" t="str">
        <f>IF(Table1[[#This Row],[UnitsSold]]&gt;3000,"Large",IF(Table1[[#This Row],[UnitsSold]]&gt;1500,"Midium","Small"))</f>
        <v>Small</v>
      </c>
    </row>
    <row r="516" spans="1:17" x14ac:dyDescent="0.3">
      <c r="A516" s="2" t="s">
        <v>4</v>
      </c>
      <c r="B516" s="2" t="s">
        <v>5</v>
      </c>
      <c r="C516" s="2" t="s">
        <v>70</v>
      </c>
      <c r="D516" s="2" t="s">
        <v>1078</v>
      </c>
      <c r="E516" s="4">
        <v>2104.5</v>
      </c>
      <c r="F516" s="7" t="s">
        <v>71</v>
      </c>
      <c r="G516" s="7">
        <v>350</v>
      </c>
      <c r="H516" s="7" t="s">
        <v>1227</v>
      </c>
      <c r="I516" s="7" t="s">
        <v>1228</v>
      </c>
      <c r="J516" s="7" t="s">
        <v>1800</v>
      </c>
      <c r="K516" s="7" t="s">
        <v>1229</v>
      </c>
      <c r="L516" s="7" t="s">
        <v>1896</v>
      </c>
      <c r="M516" s="1">
        <v>41821</v>
      </c>
      <c r="N516" s="4">
        <v>7</v>
      </c>
      <c r="O516" s="2" t="s">
        <v>56</v>
      </c>
      <c r="P516" s="4">
        <v>2014</v>
      </c>
      <c r="Q516" t="str">
        <f>IF(Table1[[#This Row],[UnitsSold]]&gt;3000,"Large",IF(Table1[[#This Row],[UnitsSold]]&gt;1500,"Midium","Small"))</f>
        <v>Midium</v>
      </c>
    </row>
    <row r="517" spans="1:17" x14ac:dyDescent="0.3">
      <c r="A517" s="2" t="s">
        <v>47</v>
      </c>
      <c r="B517" s="2" t="s">
        <v>5</v>
      </c>
      <c r="C517" s="2" t="s">
        <v>70</v>
      </c>
      <c r="D517" s="2" t="s">
        <v>1078</v>
      </c>
      <c r="E517" s="4">
        <v>4026</v>
      </c>
      <c r="F517" s="7" t="s">
        <v>71</v>
      </c>
      <c r="G517" s="7">
        <v>12</v>
      </c>
      <c r="H517" s="7" t="s">
        <v>1230</v>
      </c>
      <c r="I517" s="7" t="s">
        <v>1231</v>
      </c>
      <c r="J517" s="7">
        <v>42997.68</v>
      </c>
      <c r="K517" s="7" t="s">
        <v>1232</v>
      </c>
      <c r="L517" s="7">
        <v>30919.68</v>
      </c>
      <c r="M517" s="1">
        <v>41821</v>
      </c>
      <c r="N517" s="4">
        <v>7</v>
      </c>
      <c r="O517" s="2" t="s">
        <v>56</v>
      </c>
      <c r="P517" s="4">
        <v>2014</v>
      </c>
      <c r="Q517" t="str">
        <f>IF(Table1[[#This Row],[UnitsSold]]&gt;3000,"Large",IF(Table1[[#This Row],[UnitsSold]]&gt;1500,"Midium","Small"))</f>
        <v>Large</v>
      </c>
    </row>
    <row r="518" spans="1:17" x14ac:dyDescent="0.3">
      <c r="A518" s="2" t="s">
        <v>47</v>
      </c>
      <c r="B518" s="2" t="s">
        <v>8</v>
      </c>
      <c r="C518" s="2" t="s">
        <v>70</v>
      </c>
      <c r="D518" s="2" t="s">
        <v>1078</v>
      </c>
      <c r="E518" s="4">
        <v>2425.5</v>
      </c>
      <c r="F518" s="7" t="s">
        <v>71</v>
      </c>
      <c r="G518" s="7">
        <v>12</v>
      </c>
      <c r="H518" s="7" t="s">
        <v>1233</v>
      </c>
      <c r="I518" s="7" t="s">
        <v>1234</v>
      </c>
      <c r="J518" s="7">
        <v>25904.34</v>
      </c>
      <c r="K518" s="7" t="s">
        <v>1235</v>
      </c>
      <c r="L518" s="7">
        <v>18627.84</v>
      </c>
      <c r="M518" s="1">
        <v>41821</v>
      </c>
      <c r="N518" s="4">
        <v>7</v>
      </c>
      <c r="O518" s="2" t="s">
        <v>56</v>
      </c>
      <c r="P518" s="4">
        <v>2014</v>
      </c>
      <c r="Q518" t="str">
        <f>IF(Table1[[#This Row],[UnitsSold]]&gt;3000,"Large",IF(Table1[[#This Row],[UnitsSold]]&gt;1500,"Midium","Small"))</f>
        <v>Midium</v>
      </c>
    </row>
    <row r="519" spans="1:17" x14ac:dyDescent="0.3">
      <c r="A519" s="2" t="s">
        <v>4</v>
      </c>
      <c r="B519" s="2" t="s">
        <v>5</v>
      </c>
      <c r="C519" s="2" t="s">
        <v>70</v>
      </c>
      <c r="D519" s="2" t="s">
        <v>1078</v>
      </c>
      <c r="E519" s="4">
        <v>2394</v>
      </c>
      <c r="F519" s="7" t="s">
        <v>71</v>
      </c>
      <c r="G519" s="7">
        <v>20</v>
      </c>
      <c r="H519" s="7" t="s">
        <v>1236</v>
      </c>
      <c r="I519" s="7" t="s">
        <v>1237</v>
      </c>
      <c r="J519" s="7">
        <v>42613.2</v>
      </c>
      <c r="K519" s="7" t="s">
        <v>1238</v>
      </c>
      <c r="L519" s="7">
        <v>18673.2</v>
      </c>
      <c r="M519" s="1">
        <v>41852</v>
      </c>
      <c r="N519" s="4">
        <v>8</v>
      </c>
      <c r="O519" s="2" t="s">
        <v>60</v>
      </c>
      <c r="P519" s="4">
        <v>2014</v>
      </c>
      <c r="Q519" t="str">
        <f>IF(Table1[[#This Row],[UnitsSold]]&gt;3000,"Large",IF(Table1[[#This Row],[UnitsSold]]&gt;1500,"Midium","Small"))</f>
        <v>Midium</v>
      </c>
    </row>
    <row r="520" spans="1:17" x14ac:dyDescent="0.3">
      <c r="A520" s="2" t="s">
        <v>7</v>
      </c>
      <c r="B520" s="2" t="s">
        <v>9</v>
      </c>
      <c r="C520" s="2" t="s">
        <v>70</v>
      </c>
      <c r="D520" s="2" t="s">
        <v>1078</v>
      </c>
      <c r="E520" s="4">
        <v>1984</v>
      </c>
      <c r="F520" s="7" t="s">
        <v>71</v>
      </c>
      <c r="G520" s="7">
        <v>15</v>
      </c>
      <c r="H520" s="7" t="s">
        <v>1239</v>
      </c>
      <c r="I520" s="7" t="s">
        <v>1240</v>
      </c>
      <c r="J520" s="7">
        <v>26486.400000000001</v>
      </c>
      <c r="K520" s="7" t="s">
        <v>1241</v>
      </c>
      <c r="L520" s="7">
        <v>6646.4</v>
      </c>
      <c r="M520" s="1">
        <v>41852</v>
      </c>
      <c r="N520" s="4">
        <v>8</v>
      </c>
      <c r="O520" s="2" t="s">
        <v>60</v>
      </c>
      <c r="P520" s="4">
        <v>2014</v>
      </c>
      <c r="Q520" t="str">
        <f>IF(Table1[[#This Row],[UnitsSold]]&gt;3000,"Large",IF(Table1[[#This Row],[UnitsSold]]&gt;1500,"Midium","Small"))</f>
        <v>Midium</v>
      </c>
    </row>
    <row r="521" spans="1:17" x14ac:dyDescent="0.3">
      <c r="A521" s="2" t="s">
        <v>10</v>
      </c>
      <c r="B521" s="2" t="s">
        <v>8</v>
      </c>
      <c r="C521" s="2" t="s">
        <v>70</v>
      </c>
      <c r="D521" s="2" t="s">
        <v>1078</v>
      </c>
      <c r="E521" s="4">
        <v>2441</v>
      </c>
      <c r="F521" s="7" t="s">
        <v>71</v>
      </c>
      <c r="G521" s="7">
        <v>125</v>
      </c>
      <c r="H521" s="7" t="s">
        <v>1204</v>
      </c>
      <c r="I521" s="7" t="s">
        <v>1205</v>
      </c>
      <c r="J521" s="7" t="s">
        <v>1797</v>
      </c>
      <c r="K521" s="7" t="s">
        <v>1206</v>
      </c>
      <c r="L521" s="7">
        <v>21358.75</v>
      </c>
      <c r="M521" s="1">
        <v>41913</v>
      </c>
      <c r="N521" s="4">
        <v>10</v>
      </c>
      <c r="O521" s="2" t="s">
        <v>66</v>
      </c>
      <c r="P521" s="4">
        <v>2014</v>
      </c>
      <c r="Q521" t="str">
        <f>IF(Table1[[#This Row],[UnitsSold]]&gt;3000,"Large",IF(Table1[[#This Row],[UnitsSold]]&gt;1500,"Midium","Small"))</f>
        <v>Midium</v>
      </c>
    </row>
    <row r="522" spans="1:17" x14ac:dyDescent="0.3">
      <c r="A522" s="2" t="s">
        <v>4</v>
      </c>
      <c r="B522" s="2" t="s">
        <v>6</v>
      </c>
      <c r="C522" s="2" t="s">
        <v>70</v>
      </c>
      <c r="D522" s="2" t="s">
        <v>1078</v>
      </c>
      <c r="E522" s="4">
        <v>2992</v>
      </c>
      <c r="F522" s="7" t="s">
        <v>71</v>
      </c>
      <c r="G522" s="7">
        <v>20</v>
      </c>
      <c r="H522" s="7" t="s">
        <v>1215</v>
      </c>
      <c r="I522" s="7" t="s">
        <v>1216</v>
      </c>
      <c r="J522" s="7">
        <v>53257.599999999999</v>
      </c>
      <c r="K522" s="7" t="s">
        <v>1217</v>
      </c>
      <c r="L522" s="7">
        <v>23337.599999999999</v>
      </c>
      <c r="M522" s="1">
        <v>41548</v>
      </c>
      <c r="N522" s="4">
        <v>10</v>
      </c>
      <c r="O522" s="2" t="s">
        <v>66</v>
      </c>
      <c r="P522" s="4">
        <v>2013</v>
      </c>
      <c r="Q522" t="str">
        <f>IF(Table1[[#This Row],[UnitsSold]]&gt;3000,"Large",IF(Table1[[#This Row],[UnitsSold]]&gt;1500,"Midium","Small"))</f>
        <v>Midium</v>
      </c>
    </row>
    <row r="523" spans="1:17" x14ac:dyDescent="0.3">
      <c r="A523" s="2" t="s">
        <v>57</v>
      </c>
      <c r="B523" s="2" t="s">
        <v>5</v>
      </c>
      <c r="C523" s="2" t="s">
        <v>70</v>
      </c>
      <c r="D523" s="2" t="s">
        <v>1078</v>
      </c>
      <c r="E523" s="4">
        <v>1366</v>
      </c>
      <c r="F523" s="7" t="s">
        <v>71</v>
      </c>
      <c r="G523" s="7">
        <v>300</v>
      </c>
      <c r="H523" s="7" t="s">
        <v>1242</v>
      </c>
      <c r="I523" s="7" t="s">
        <v>1243</v>
      </c>
      <c r="J523" s="7" t="s">
        <v>1801</v>
      </c>
      <c r="K523" s="7" t="s">
        <v>1244</v>
      </c>
      <c r="L523" s="7">
        <v>23222</v>
      </c>
      <c r="M523" s="1">
        <v>41944</v>
      </c>
      <c r="N523" s="4">
        <v>11</v>
      </c>
      <c r="O523" s="2" t="s">
        <v>94</v>
      </c>
      <c r="P523" s="4">
        <v>2014</v>
      </c>
      <c r="Q523" t="str">
        <f>IF(Table1[[#This Row],[UnitsSold]]&gt;3000,"Large",IF(Table1[[#This Row],[UnitsSold]]&gt;1500,"Midium","Small"))</f>
        <v>Small</v>
      </c>
    </row>
    <row r="524" spans="1:17" x14ac:dyDescent="0.3">
      <c r="A524" s="2" t="s">
        <v>4</v>
      </c>
      <c r="B524" s="2" t="s">
        <v>8</v>
      </c>
      <c r="C524" s="2" t="s">
        <v>101</v>
      </c>
      <c r="D524" s="2" t="s">
        <v>1078</v>
      </c>
      <c r="E524" s="4">
        <v>2805</v>
      </c>
      <c r="F524" s="7" t="s">
        <v>102</v>
      </c>
      <c r="G524" s="7">
        <v>20</v>
      </c>
      <c r="H524" s="7" t="s">
        <v>1245</v>
      </c>
      <c r="I524" s="7" t="s">
        <v>1246</v>
      </c>
      <c r="J524" s="7">
        <v>49929</v>
      </c>
      <c r="K524" s="7" t="s">
        <v>1247</v>
      </c>
      <c r="L524" s="7">
        <v>21879</v>
      </c>
      <c r="M524" s="1">
        <v>41518</v>
      </c>
      <c r="N524" s="4">
        <v>9</v>
      </c>
      <c r="O524" s="2" t="s">
        <v>63</v>
      </c>
      <c r="P524" s="4">
        <v>2013</v>
      </c>
      <c r="Q524" t="str">
        <f>IF(Table1[[#This Row],[UnitsSold]]&gt;3000,"Large",IF(Table1[[#This Row],[UnitsSold]]&gt;1500,"Midium","Small"))</f>
        <v>Midium</v>
      </c>
    </row>
    <row r="525" spans="1:17" x14ac:dyDescent="0.3">
      <c r="A525" s="2" t="s">
        <v>7</v>
      </c>
      <c r="B525" s="2" t="s">
        <v>9</v>
      </c>
      <c r="C525" s="2" t="s">
        <v>101</v>
      </c>
      <c r="D525" s="2" t="s">
        <v>1078</v>
      </c>
      <c r="E525" s="4">
        <v>655</v>
      </c>
      <c r="F525" s="7" t="s">
        <v>102</v>
      </c>
      <c r="G525" s="7">
        <v>15</v>
      </c>
      <c r="H525" s="7" t="s">
        <v>1248</v>
      </c>
      <c r="I525" s="7" t="s">
        <v>1249</v>
      </c>
      <c r="J525" s="7">
        <v>8744.25</v>
      </c>
      <c r="K525" s="7" t="s">
        <v>1250</v>
      </c>
      <c r="L525" s="7">
        <v>2194.25</v>
      </c>
      <c r="M525" s="1">
        <v>41518</v>
      </c>
      <c r="N525" s="4">
        <v>9</v>
      </c>
      <c r="O525" s="2" t="s">
        <v>63</v>
      </c>
      <c r="P525" s="4">
        <v>2013</v>
      </c>
      <c r="Q525" t="str">
        <f>IF(Table1[[#This Row],[UnitsSold]]&gt;3000,"Large",IF(Table1[[#This Row],[UnitsSold]]&gt;1500,"Midium","Small"))</f>
        <v>Small</v>
      </c>
    </row>
    <row r="526" spans="1:17" x14ac:dyDescent="0.3">
      <c r="A526" s="2" t="s">
        <v>4</v>
      </c>
      <c r="B526" s="2" t="s">
        <v>9</v>
      </c>
      <c r="C526" s="2" t="s">
        <v>101</v>
      </c>
      <c r="D526" s="2" t="s">
        <v>1078</v>
      </c>
      <c r="E526" s="4">
        <v>344</v>
      </c>
      <c r="F526" s="7" t="s">
        <v>102</v>
      </c>
      <c r="G526" s="7">
        <v>350</v>
      </c>
      <c r="H526" s="7" t="s">
        <v>1251</v>
      </c>
      <c r="I526" s="7" t="s">
        <v>1252</v>
      </c>
      <c r="J526" s="7" t="s">
        <v>1802</v>
      </c>
      <c r="K526" s="7" t="s">
        <v>1253</v>
      </c>
      <c r="L526" s="7">
        <v>17716</v>
      </c>
      <c r="M526" s="1">
        <v>41548</v>
      </c>
      <c r="N526" s="4">
        <v>10</v>
      </c>
      <c r="O526" s="2" t="s">
        <v>66</v>
      </c>
      <c r="P526" s="4">
        <v>2013</v>
      </c>
      <c r="Q526" t="str">
        <f>IF(Table1[[#This Row],[UnitsSold]]&gt;3000,"Large",IF(Table1[[#This Row],[UnitsSold]]&gt;1500,"Midium","Small"))</f>
        <v>Small</v>
      </c>
    </row>
    <row r="527" spans="1:17" x14ac:dyDescent="0.3">
      <c r="A527" s="2" t="s">
        <v>4</v>
      </c>
      <c r="B527" s="2" t="s">
        <v>5</v>
      </c>
      <c r="C527" s="2" t="s">
        <v>101</v>
      </c>
      <c r="D527" s="2" t="s">
        <v>1078</v>
      </c>
      <c r="E527" s="4">
        <v>1808</v>
      </c>
      <c r="F527" s="7" t="s">
        <v>102</v>
      </c>
      <c r="G527" s="7">
        <v>7</v>
      </c>
      <c r="H527" s="7" t="s">
        <v>1254</v>
      </c>
      <c r="I527" s="7" t="s">
        <v>1255</v>
      </c>
      <c r="J527" s="7">
        <v>11263.84</v>
      </c>
      <c r="K527" s="7" t="s">
        <v>1256</v>
      </c>
      <c r="L527" s="7">
        <v>2223.84</v>
      </c>
      <c r="M527" s="1">
        <v>41944</v>
      </c>
      <c r="N527" s="4">
        <v>11</v>
      </c>
      <c r="O527" s="2" t="s">
        <v>94</v>
      </c>
      <c r="P527" s="4">
        <v>2014</v>
      </c>
      <c r="Q527" t="str">
        <f>IF(Table1[[#This Row],[UnitsSold]]&gt;3000,"Large",IF(Table1[[#This Row],[UnitsSold]]&gt;1500,"Midium","Small"))</f>
        <v>Midium</v>
      </c>
    </row>
    <row r="528" spans="1:17" x14ac:dyDescent="0.3">
      <c r="A528" s="2" t="s">
        <v>47</v>
      </c>
      <c r="B528" s="2" t="s">
        <v>8</v>
      </c>
      <c r="C528" s="2" t="s">
        <v>111</v>
      </c>
      <c r="D528" s="2" t="s">
        <v>1078</v>
      </c>
      <c r="E528" s="4">
        <v>1734</v>
      </c>
      <c r="F528" s="7" t="s">
        <v>112</v>
      </c>
      <c r="G528" s="7">
        <v>12</v>
      </c>
      <c r="H528" s="7" t="s">
        <v>1257</v>
      </c>
      <c r="I528" s="7" t="s">
        <v>1258</v>
      </c>
      <c r="J528" s="7">
        <v>18519.12</v>
      </c>
      <c r="K528" s="7" t="s">
        <v>1259</v>
      </c>
      <c r="L528" s="7">
        <v>13317.12</v>
      </c>
      <c r="M528" s="1">
        <v>41640</v>
      </c>
      <c r="N528" s="4">
        <v>1</v>
      </c>
      <c r="O528" s="2" t="s">
        <v>29</v>
      </c>
      <c r="P528" s="4">
        <v>2014</v>
      </c>
      <c r="Q528" t="str">
        <f>IF(Table1[[#This Row],[UnitsSold]]&gt;3000,"Large",IF(Table1[[#This Row],[UnitsSold]]&gt;1500,"Midium","Small"))</f>
        <v>Midium</v>
      </c>
    </row>
    <row r="529" spans="1:17" x14ac:dyDescent="0.3">
      <c r="A529" s="2" t="s">
        <v>10</v>
      </c>
      <c r="B529" s="2" t="s">
        <v>9</v>
      </c>
      <c r="C529" s="2" t="s">
        <v>111</v>
      </c>
      <c r="D529" s="2" t="s">
        <v>1078</v>
      </c>
      <c r="E529" s="4">
        <v>554</v>
      </c>
      <c r="F529" s="7" t="s">
        <v>112</v>
      </c>
      <c r="G529" s="7">
        <v>125</v>
      </c>
      <c r="H529" s="7" t="s">
        <v>1260</v>
      </c>
      <c r="I529" s="7" t="s">
        <v>1261</v>
      </c>
      <c r="J529" s="7">
        <v>61632.5</v>
      </c>
      <c r="K529" s="7" t="s">
        <v>1262</v>
      </c>
      <c r="L529" s="7">
        <v>4847.5</v>
      </c>
      <c r="M529" s="1">
        <v>41640</v>
      </c>
      <c r="N529" s="4">
        <v>1</v>
      </c>
      <c r="O529" s="2" t="s">
        <v>29</v>
      </c>
      <c r="P529" s="4">
        <v>2014</v>
      </c>
      <c r="Q529" t="str">
        <f>IF(Table1[[#This Row],[UnitsSold]]&gt;3000,"Large",IF(Table1[[#This Row],[UnitsSold]]&gt;1500,"Midium","Small"))</f>
        <v>Small</v>
      </c>
    </row>
    <row r="530" spans="1:17" x14ac:dyDescent="0.3">
      <c r="A530" s="2" t="s">
        <v>4</v>
      </c>
      <c r="B530" s="2" t="s">
        <v>5</v>
      </c>
      <c r="C530" s="2" t="s">
        <v>111</v>
      </c>
      <c r="D530" s="2" t="s">
        <v>1078</v>
      </c>
      <c r="E530" s="4">
        <v>2935</v>
      </c>
      <c r="F530" s="7" t="s">
        <v>112</v>
      </c>
      <c r="G530" s="7">
        <v>20</v>
      </c>
      <c r="H530" s="7" t="s">
        <v>1263</v>
      </c>
      <c r="I530" s="7" t="s">
        <v>1264</v>
      </c>
      <c r="J530" s="7">
        <v>52243</v>
      </c>
      <c r="K530" s="7" t="s">
        <v>1265</v>
      </c>
      <c r="L530" s="7">
        <v>22893</v>
      </c>
      <c r="M530" s="1">
        <v>41579</v>
      </c>
      <c r="N530" s="4">
        <v>11</v>
      </c>
      <c r="O530" s="2" t="s">
        <v>94</v>
      </c>
      <c r="P530" s="4">
        <v>2013</v>
      </c>
      <c r="Q530" t="str">
        <f>IF(Table1[[#This Row],[UnitsSold]]&gt;3000,"Large",IF(Table1[[#This Row],[UnitsSold]]&gt;1500,"Midium","Small"))</f>
        <v>Midium</v>
      </c>
    </row>
    <row r="531" spans="1:17" x14ac:dyDescent="0.3">
      <c r="A531" s="2" t="s">
        <v>10</v>
      </c>
      <c r="B531" s="2" t="s">
        <v>6</v>
      </c>
      <c r="C531" s="2" t="s">
        <v>122</v>
      </c>
      <c r="D531" s="2" t="s">
        <v>1078</v>
      </c>
      <c r="E531" s="4">
        <v>3165</v>
      </c>
      <c r="F531" s="7" t="s">
        <v>123</v>
      </c>
      <c r="G531" s="7">
        <v>125</v>
      </c>
      <c r="H531" s="7" t="s">
        <v>1266</v>
      </c>
      <c r="I531" s="7" t="s">
        <v>1267</v>
      </c>
      <c r="J531" s="7" t="s">
        <v>1803</v>
      </c>
      <c r="K531" s="7" t="s">
        <v>1268</v>
      </c>
      <c r="L531" s="7">
        <v>27693.75</v>
      </c>
      <c r="M531" s="1">
        <v>41640</v>
      </c>
      <c r="N531" s="4">
        <v>1</v>
      </c>
      <c r="O531" s="2" t="s">
        <v>29</v>
      </c>
      <c r="P531" s="4">
        <v>2014</v>
      </c>
      <c r="Q531" t="str">
        <f>IF(Table1[[#This Row],[UnitsSold]]&gt;3000,"Large",IF(Table1[[#This Row],[UnitsSold]]&gt;1500,"Midium","Small"))</f>
        <v>Large</v>
      </c>
    </row>
    <row r="532" spans="1:17" x14ac:dyDescent="0.3">
      <c r="A532" s="2" t="s">
        <v>4</v>
      </c>
      <c r="B532" s="2" t="s">
        <v>9</v>
      </c>
      <c r="C532" s="2" t="s">
        <v>122</v>
      </c>
      <c r="D532" s="2" t="s">
        <v>1078</v>
      </c>
      <c r="E532" s="4">
        <v>2629</v>
      </c>
      <c r="F532" s="7" t="s">
        <v>123</v>
      </c>
      <c r="G532" s="7">
        <v>20</v>
      </c>
      <c r="H532" s="7" t="s">
        <v>1269</v>
      </c>
      <c r="I532" s="7" t="s">
        <v>1270</v>
      </c>
      <c r="J532" s="7">
        <v>46796.2</v>
      </c>
      <c r="K532" s="7" t="s">
        <v>1271</v>
      </c>
      <c r="L532" s="7">
        <v>20506.2</v>
      </c>
      <c r="M532" s="1">
        <v>41640</v>
      </c>
      <c r="N532" s="4">
        <v>1</v>
      </c>
      <c r="O532" s="2" t="s">
        <v>29</v>
      </c>
      <c r="P532" s="4">
        <v>2014</v>
      </c>
      <c r="Q532" t="str">
        <f>IF(Table1[[#This Row],[UnitsSold]]&gt;3000,"Large",IF(Table1[[#This Row],[UnitsSold]]&gt;1500,"Midium","Small"))</f>
        <v>Midium</v>
      </c>
    </row>
    <row r="533" spans="1:17" x14ac:dyDescent="0.3">
      <c r="A533" s="2" t="s">
        <v>10</v>
      </c>
      <c r="B533" s="2" t="s">
        <v>8</v>
      </c>
      <c r="C533" s="2" t="s">
        <v>122</v>
      </c>
      <c r="D533" s="2" t="s">
        <v>1078</v>
      </c>
      <c r="E533" s="4">
        <v>1433</v>
      </c>
      <c r="F533" s="7" t="s">
        <v>123</v>
      </c>
      <c r="G533" s="7">
        <v>125</v>
      </c>
      <c r="H533" s="7" t="s">
        <v>1272</v>
      </c>
      <c r="I533" s="7" t="s">
        <v>1273</v>
      </c>
      <c r="J533" s="7" t="s">
        <v>1804</v>
      </c>
      <c r="K533" s="7" t="s">
        <v>1274</v>
      </c>
      <c r="L533" s="7">
        <v>12538.75</v>
      </c>
      <c r="M533" s="1">
        <v>41760</v>
      </c>
      <c r="N533" s="4">
        <v>5</v>
      </c>
      <c r="O533" s="2" t="s">
        <v>145</v>
      </c>
      <c r="P533" s="4">
        <v>2014</v>
      </c>
      <c r="Q533" t="str">
        <f>IF(Table1[[#This Row],[UnitsSold]]&gt;3000,"Large",IF(Table1[[#This Row],[UnitsSold]]&gt;1500,"Midium","Small"))</f>
        <v>Small</v>
      </c>
    </row>
    <row r="534" spans="1:17" x14ac:dyDescent="0.3">
      <c r="A534" s="2" t="s">
        <v>10</v>
      </c>
      <c r="B534" s="2" t="s">
        <v>9</v>
      </c>
      <c r="C534" s="2" t="s">
        <v>122</v>
      </c>
      <c r="D534" s="2" t="s">
        <v>1078</v>
      </c>
      <c r="E534" s="4">
        <v>947</v>
      </c>
      <c r="F534" s="7" t="s">
        <v>123</v>
      </c>
      <c r="G534" s="7">
        <v>125</v>
      </c>
      <c r="H534" s="7" t="s">
        <v>1275</v>
      </c>
      <c r="I534" s="7" t="s">
        <v>1276</v>
      </c>
      <c r="J534" s="7" t="s">
        <v>1805</v>
      </c>
      <c r="K534" s="7" t="s">
        <v>1277</v>
      </c>
      <c r="L534" s="7">
        <v>8286.25</v>
      </c>
      <c r="M534" s="1">
        <v>41518</v>
      </c>
      <c r="N534" s="4">
        <v>9</v>
      </c>
      <c r="O534" s="2" t="s">
        <v>63</v>
      </c>
      <c r="P534" s="4">
        <v>2013</v>
      </c>
      <c r="Q534" t="str">
        <f>IF(Table1[[#This Row],[UnitsSold]]&gt;3000,"Large",IF(Table1[[#This Row],[UnitsSold]]&gt;1500,"Midium","Small"))</f>
        <v>Small</v>
      </c>
    </row>
    <row r="535" spans="1:17" x14ac:dyDescent="0.3">
      <c r="A535" s="2" t="s">
        <v>4</v>
      </c>
      <c r="B535" s="2" t="s">
        <v>9</v>
      </c>
      <c r="C535" s="2" t="s">
        <v>122</v>
      </c>
      <c r="D535" s="2" t="s">
        <v>1078</v>
      </c>
      <c r="E535" s="4">
        <v>344</v>
      </c>
      <c r="F535" s="7" t="s">
        <v>123</v>
      </c>
      <c r="G535" s="7">
        <v>350</v>
      </c>
      <c r="H535" s="7" t="s">
        <v>1251</v>
      </c>
      <c r="I535" s="7" t="s">
        <v>1252</v>
      </c>
      <c r="J535" s="7" t="s">
        <v>1802</v>
      </c>
      <c r="K535" s="7" t="s">
        <v>1253</v>
      </c>
      <c r="L535" s="7">
        <v>17716</v>
      </c>
      <c r="M535" s="1">
        <v>41548</v>
      </c>
      <c r="N535" s="4">
        <v>10</v>
      </c>
      <c r="O535" s="2" t="s">
        <v>66</v>
      </c>
      <c r="P535" s="4">
        <v>2013</v>
      </c>
      <c r="Q535" t="str">
        <f>IF(Table1[[#This Row],[UnitsSold]]&gt;3000,"Large",IF(Table1[[#This Row],[UnitsSold]]&gt;1500,"Midium","Small"))</f>
        <v>Small</v>
      </c>
    </row>
    <row r="536" spans="1:17" x14ac:dyDescent="0.3">
      <c r="A536" s="2" t="s">
        <v>7</v>
      </c>
      <c r="B536" s="2" t="s">
        <v>9</v>
      </c>
      <c r="C536" s="2" t="s">
        <v>122</v>
      </c>
      <c r="D536" s="2" t="s">
        <v>1078</v>
      </c>
      <c r="E536" s="4">
        <v>2157</v>
      </c>
      <c r="F536" s="7" t="s">
        <v>123</v>
      </c>
      <c r="G536" s="7">
        <v>15</v>
      </c>
      <c r="H536" s="7" t="s">
        <v>1218</v>
      </c>
      <c r="I536" s="7" t="s">
        <v>1219</v>
      </c>
      <c r="J536" s="7">
        <v>28795.95</v>
      </c>
      <c r="K536" s="7" t="s">
        <v>1220</v>
      </c>
      <c r="L536" s="7">
        <v>7225.95</v>
      </c>
      <c r="M536" s="1">
        <v>41974</v>
      </c>
      <c r="N536" s="4">
        <v>12</v>
      </c>
      <c r="O536" s="2" t="s">
        <v>41</v>
      </c>
      <c r="P536" s="4">
        <v>2014</v>
      </c>
      <c r="Q536" t="str">
        <f>IF(Table1[[#This Row],[UnitsSold]]&gt;3000,"Large",IF(Table1[[#This Row],[UnitsSold]]&gt;1500,"Midium","Small"))</f>
        <v>Midium</v>
      </c>
    </row>
    <row r="537" spans="1:17" x14ac:dyDescent="0.3">
      <c r="A537" s="2" t="s">
        <v>4</v>
      </c>
      <c r="B537" s="2" t="s">
        <v>67</v>
      </c>
      <c r="C537" s="2" t="s">
        <v>70</v>
      </c>
      <c r="D537" s="2" t="s">
        <v>1078</v>
      </c>
      <c r="E537" s="4">
        <v>380</v>
      </c>
      <c r="F537" s="7" t="s">
        <v>71</v>
      </c>
      <c r="G537" s="7">
        <v>7</v>
      </c>
      <c r="H537" s="7" t="s">
        <v>1278</v>
      </c>
      <c r="I537" s="7" t="s">
        <v>1279</v>
      </c>
      <c r="J537" s="7">
        <v>2367.4</v>
      </c>
      <c r="K537" s="7" t="s">
        <v>1280</v>
      </c>
      <c r="L537" s="7">
        <v>467.4</v>
      </c>
      <c r="M537" s="1">
        <v>41518</v>
      </c>
      <c r="N537" s="4">
        <v>9</v>
      </c>
      <c r="O537" s="2" t="s">
        <v>63</v>
      </c>
      <c r="P537" s="4">
        <v>2013</v>
      </c>
      <c r="Q537" t="str">
        <f>IF(Table1[[#This Row],[UnitsSold]]&gt;3000,"Large",IF(Table1[[#This Row],[UnitsSold]]&gt;1500,"Midium","Small"))</f>
        <v>Small</v>
      </c>
    </row>
    <row r="538" spans="1:17" x14ac:dyDescent="0.3">
      <c r="A538" s="2" t="s">
        <v>4</v>
      </c>
      <c r="B538" s="2" t="s">
        <v>9</v>
      </c>
      <c r="C538" s="2" t="s">
        <v>23</v>
      </c>
      <c r="D538" s="2" t="s">
        <v>1078</v>
      </c>
      <c r="E538" s="4">
        <v>886</v>
      </c>
      <c r="F538" s="7" t="s">
        <v>25</v>
      </c>
      <c r="G538" s="7">
        <v>350</v>
      </c>
      <c r="H538" s="7" t="s">
        <v>1281</v>
      </c>
      <c r="I538" s="7" t="s">
        <v>1282</v>
      </c>
      <c r="J538" s="7" t="s">
        <v>1806</v>
      </c>
      <c r="K538" s="7" t="s">
        <v>1283</v>
      </c>
      <c r="L538" s="7">
        <v>42528</v>
      </c>
      <c r="M538" s="1">
        <v>41791</v>
      </c>
      <c r="N538" s="4">
        <v>6</v>
      </c>
      <c r="O538" s="2" t="s">
        <v>34</v>
      </c>
      <c r="P538" s="4">
        <v>2014</v>
      </c>
      <c r="Q538" t="str">
        <f>IF(Table1[[#This Row],[UnitsSold]]&gt;3000,"Large",IF(Table1[[#This Row],[UnitsSold]]&gt;1500,"Midium","Small"))</f>
        <v>Small</v>
      </c>
    </row>
    <row r="539" spans="1:17" x14ac:dyDescent="0.3">
      <c r="A539" s="2" t="s">
        <v>10</v>
      </c>
      <c r="B539" s="2" t="s">
        <v>5</v>
      </c>
      <c r="C539" s="2" t="s">
        <v>23</v>
      </c>
      <c r="D539" s="2" t="s">
        <v>1078</v>
      </c>
      <c r="E539" s="4">
        <v>2416</v>
      </c>
      <c r="F539" s="7" t="s">
        <v>25</v>
      </c>
      <c r="G539" s="7">
        <v>125</v>
      </c>
      <c r="H539" s="7" t="s">
        <v>1284</v>
      </c>
      <c r="I539" s="7" t="s">
        <v>1285</v>
      </c>
      <c r="J539" s="7" t="s">
        <v>1807</v>
      </c>
      <c r="K539" s="7" t="s">
        <v>1286</v>
      </c>
      <c r="L539" s="7">
        <v>24160</v>
      </c>
      <c r="M539" s="1">
        <v>41518</v>
      </c>
      <c r="N539" s="4">
        <v>9</v>
      </c>
      <c r="O539" s="2" t="s">
        <v>63</v>
      </c>
      <c r="P539" s="4">
        <v>2013</v>
      </c>
      <c r="Q539" t="str">
        <f>IF(Table1[[#This Row],[UnitsSold]]&gt;3000,"Large",IF(Table1[[#This Row],[UnitsSold]]&gt;1500,"Midium","Small"))</f>
        <v>Midium</v>
      </c>
    </row>
    <row r="540" spans="1:17" x14ac:dyDescent="0.3">
      <c r="A540" s="2" t="s">
        <v>10</v>
      </c>
      <c r="B540" s="2" t="s">
        <v>9</v>
      </c>
      <c r="C540" s="2" t="s">
        <v>23</v>
      </c>
      <c r="D540" s="2" t="s">
        <v>1078</v>
      </c>
      <c r="E540" s="4">
        <v>2156</v>
      </c>
      <c r="F540" s="7" t="s">
        <v>25</v>
      </c>
      <c r="G540" s="7">
        <v>125</v>
      </c>
      <c r="H540" s="7" t="s">
        <v>1287</v>
      </c>
      <c r="I540" s="7" t="s">
        <v>1288</v>
      </c>
      <c r="J540" s="7" t="s">
        <v>1808</v>
      </c>
      <c r="K540" s="7" t="s">
        <v>1289</v>
      </c>
      <c r="L540" s="7">
        <v>21560</v>
      </c>
      <c r="M540" s="1">
        <v>41913</v>
      </c>
      <c r="N540" s="4">
        <v>10</v>
      </c>
      <c r="O540" s="2" t="s">
        <v>66</v>
      </c>
      <c r="P540" s="4">
        <v>2014</v>
      </c>
      <c r="Q540" t="str">
        <f>IF(Table1[[#This Row],[UnitsSold]]&gt;3000,"Large",IF(Table1[[#This Row],[UnitsSold]]&gt;1500,"Midium","Small"))</f>
        <v>Midium</v>
      </c>
    </row>
    <row r="541" spans="1:17" x14ac:dyDescent="0.3">
      <c r="A541" s="2" t="s">
        <v>7</v>
      </c>
      <c r="B541" s="2" t="s">
        <v>5</v>
      </c>
      <c r="C541" s="2" t="s">
        <v>23</v>
      </c>
      <c r="D541" s="2" t="s">
        <v>1078</v>
      </c>
      <c r="E541" s="4">
        <v>2689</v>
      </c>
      <c r="F541" s="7" t="s">
        <v>25</v>
      </c>
      <c r="G541" s="7">
        <v>15</v>
      </c>
      <c r="H541" s="7" t="s">
        <v>1290</v>
      </c>
      <c r="I541" s="7" t="s">
        <v>1291</v>
      </c>
      <c r="J541" s="7">
        <v>35494.800000000003</v>
      </c>
      <c r="K541" s="7" t="s">
        <v>1292</v>
      </c>
      <c r="L541" s="7">
        <v>8604.7999999999993</v>
      </c>
      <c r="M541" s="1">
        <v>41944</v>
      </c>
      <c r="N541" s="4">
        <v>11</v>
      </c>
      <c r="O541" s="2" t="s">
        <v>94</v>
      </c>
      <c r="P541" s="4">
        <v>2014</v>
      </c>
      <c r="Q541" t="str">
        <f>IF(Table1[[#This Row],[UnitsSold]]&gt;3000,"Large",IF(Table1[[#This Row],[UnitsSold]]&gt;1500,"Midium","Small"))</f>
        <v>Midium</v>
      </c>
    </row>
    <row r="542" spans="1:17" x14ac:dyDescent="0.3">
      <c r="A542" s="2" t="s">
        <v>7</v>
      </c>
      <c r="B542" s="2" t="s">
        <v>67</v>
      </c>
      <c r="C542" s="2" t="s">
        <v>42</v>
      </c>
      <c r="D542" s="2" t="s">
        <v>1078</v>
      </c>
      <c r="E542" s="4">
        <v>677</v>
      </c>
      <c r="F542" s="7" t="s">
        <v>43</v>
      </c>
      <c r="G542" s="7">
        <v>15</v>
      </c>
      <c r="H542" s="7" t="s">
        <v>1293</v>
      </c>
      <c r="I542" s="7" t="s">
        <v>425</v>
      </c>
      <c r="J542" s="7">
        <v>8936.4</v>
      </c>
      <c r="K542" s="7" t="s">
        <v>1294</v>
      </c>
      <c r="L542" s="7">
        <v>2166.4</v>
      </c>
      <c r="M542" s="1">
        <v>41699</v>
      </c>
      <c r="N542" s="4">
        <v>3</v>
      </c>
      <c r="O542" s="2" t="s">
        <v>46</v>
      </c>
      <c r="P542" s="4">
        <v>2014</v>
      </c>
      <c r="Q542" t="str">
        <f>IF(Table1[[#This Row],[UnitsSold]]&gt;3000,"Large",IF(Table1[[#This Row],[UnitsSold]]&gt;1500,"Midium","Small"))</f>
        <v>Small</v>
      </c>
    </row>
    <row r="543" spans="1:17" x14ac:dyDescent="0.3">
      <c r="A543" s="2" t="s">
        <v>57</v>
      </c>
      <c r="B543" s="2" t="s">
        <v>8</v>
      </c>
      <c r="C543" s="2" t="s">
        <v>42</v>
      </c>
      <c r="D543" s="2" t="s">
        <v>1078</v>
      </c>
      <c r="E543" s="4">
        <v>1773</v>
      </c>
      <c r="F543" s="7" t="s">
        <v>43</v>
      </c>
      <c r="G543" s="7">
        <v>300</v>
      </c>
      <c r="H543" s="7" t="s">
        <v>1295</v>
      </c>
      <c r="I543" s="7" t="s">
        <v>1296</v>
      </c>
      <c r="J543" s="7" t="s">
        <v>1809</v>
      </c>
      <c r="K543" s="7" t="s">
        <v>1297</v>
      </c>
      <c r="L543" s="7">
        <v>24822</v>
      </c>
      <c r="M543" s="1">
        <v>41730</v>
      </c>
      <c r="N543" s="4">
        <v>4</v>
      </c>
      <c r="O543" s="2" t="s">
        <v>117</v>
      </c>
      <c r="P543" s="4">
        <v>2014</v>
      </c>
      <c r="Q543" t="str">
        <f>IF(Table1[[#This Row],[UnitsSold]]&gt;3000,"Large",IF(Table1[[#This Row],[UnitsSold]]&gt;1500,"Midium","Small"))</f>
        <v>Midium</v>
      </c>
    </row>
    <row r="544" spans="1:17" x14ac:dyDescent="0.3">
      <c r="A544" s="2" t="s">
        <v>4</v>
      </c>
      <c r="B544" s="2" t="s">
        <v>9</v>
      </c>
      <c r="C544" s="2" t="s">
        <v>42</v>
      </c>
      <c r="D544" s="2" t="s">
        <v>1078</v>
      </c>
      <c r="E544" s="4">
        <v>2420</v>
      </c>
      <c r="F544" s="7" t="s">
        <v>43</v>
      </c>
      <c r="G544" s="7">
        <v>7</v>
      </c>
      <c r="H544" s="7" t="s">
        <v>1044</v>
      </c>
      <c r="I544" s="7" t="s">
        <v>1298</v>
      </c>
      <c r="J544" s="7">
        <v>14907.2</v>
      </c>
      <c r="K544" s="7" t="s">
        <v>1299</v>
      </c>
      <c r="L544" s="7">
        <v>2807.2</v>
      </c>
      <c r="M544" s="1">
        <v>41883</v>
      </c>
      <c r="N544" s="4">
        <v>9</v>
      </c>
      <c r="O544" s="2" t="s">
        <v>63</v>
      </c>
      <c r="P544" s="4">
        <v>2014</v>
      </c>
      <c r="Q544" t="str">
        <f>IF(Table1[[#This Row],[UnitsSold]]&gt;3000,"Large",IF(Table1[[#This Row],[UnitsSold]]&gt;1500,"Midium","Small"))</f>
        <v>Midium</v>
      </c>
    </row>
    <row r="545" spans="1:17" x14ac:dyDescent="0.3">
      <c r="A545" s="2" t="s">
        <v>4</v>
      </c>
      <c r="B545" s="2" t="s">
        <v>5</v>
      </c>
      <c r="C545" s="2" t="s">
        <v>42</v>
      </c>
      <c r="D545" s="2" t="s">
        <v>1078</v>
      </c>
      <c r="E545" s="4">
        <v>2734</v>
      </c>
      <c r="F545" s="7" t="s">
        <v>43</v>
      </c>
      <c r="G545" s="7">
        <v>7</v>
      </c>
      <c r="H545" s="7" t="s">
        <v>1300</v>
      </c>
      <c r="I545" s="7" t="s">
        <v>1301</v>
      </c>
      <c r="J545" s="7">
        <v>16841.439999999999</v>
      </c>
      <c r="K545" s="7" t="s">
        <v>1302</v>
      </c>
      <c r="L545" s="7">
        <v>3171.44</v>
      </c>
      <c r="M545" s="1">
        <v>41913</v>
      </c>
      <c r="N545" s="4">
        <v>10</v>
      </c>
      <c r="O545" s="2" t="s">
        <v>66</v>
      </c>
      <c r="P545" s="4">
        <v>2014</v>
      </c>
      <c r="Q545" t="str">
        <f>IF(Table1[[#This Row],[UnitsSold]]&gt;3000,"Large",IF(Table1[[#This Row],[UnitsSold]]&gt;1500,"Midium","Small"))</f>
        <v>Midium</v>
      </c>
    </row>
    <row r="546" spans="1:17" x14ac:dyDescent="0.3">
      <c r="A546" s="2" t="s">
        <v>4</v>
      </c>
      <c r="B546" s="2" t="s">
        <v>9</v>
      </c>
      <c r="C546" s="2" t="s">
        <v>42</v>
      </c>
      <c r="D546" s="2" t="s">
        <v>1078</v>
      </c>
      <c r="E546" s="4">
        <v>1715</v>
      </c>
      <c r="F546" s="7" t="s">
        <v>43</v>
      </c>
      <c r="G546" s="7">
        <v>20</v>
      </c>
      <c r="H546" s="7" t="s">
        <v>1303</v>
      </c>
      <c r="I546" s="7" t="s">
        <v>1304</v>
      </c>
      <c r="J546" s="7">
        <v>30184</v>
      </c>
      <c r="K546" s="7" t="s">
        <v>1305</v>
      </c>
      <c r="L546" s="7">
        <v>13034</v>
      </c>
      <c r="M546" s="1">
        <v>41548</v>
      </c>
      <c r="N546" s="4">
        <v>10</v>
      </c>
      <c r="O546" s="2" t="s">
        <v>66</v>
      </c>
      <c r="P546" s="4">
        <v>2013</v>
      </c>
      <c r="Q546" t="str">
        <f>IF(Table1[[#This Row],[UnitsSold]]&gt;3000,"Large",IF(Table1[[#This Row],[UnitsSold]]&gt;1500,"Midium","Small"))</f>
        <v>Midium</v>
      </c>
    </row>
    <row r="547" spans="1:17" x14ac:dyDescent="0.3">
      <c r="A547" s="2" t="s">
        <v>57</v>
      </c>
      <c r="B547" s="2" t="s">
        <v>8</v>
      </c>
      <c r="C547" s="2" t="s">
        <v>42</v>
      </c>
      <c r="D547" s="2" t="s">
        <v>1078</v>
      </c>
      <c r="E547" s="4">
        <v>1186</v>
      </c>
      <c r="F547" s="7" t="s">
        <v>43</v>
      </c>
      <c r="G547" s="7">
        <v>300</v>
      </c>
      <c r="H547" s="7" t="s">
        <v>1306</v>
      </c>
      <c r="I547" s="7" t="s">
        <v>1307</v>
      </c>
      <c r="J547" s="7" t="s">
        <v>1810</v>
      </c>
      <c r="K547" s="7" t="s">
        <v>1308</v>
      </c>
      <c r="L547" s="7">
        <v>16604</v>
      </c>
      <c r="M547" s="1">
        <v>41609</v>
      </c>
      <c r="N547" s="4">
        <v>12</v>
      </c>
      <c r="O547" s="2" t="s">
        <v>41</v>
      </c>
      <c r="P547" s="4">
        <v>2013</v>
      </c>
      <c r="Q547" t="str">
        <f>IF(Table1[[#This Row],[UnitsSold]]&gt;3000,"Large",IF(Table1[[#This Row],[UnitsSold]]&gt;1500,"Midium","Small"))</f>
        <v>Small</v>
      </c>
    </row>
    <row r="548" spans="1:17" x14ac:dyDescent="0.3">
      <c r="A548" s="2" t="s">
        <v>57</v>
      </c>
      <c r="B548" s="2" t="s">
        <v>67</v>
      </c>
      <c r="C548" s="2" t="s">
        <v>70</v>
      </c>
      <c r="D548" s="2" t="s">
        <v>1078</v>
      </c>
      <c r="E548" s="4">
        <v>3495</v>
      </c>
      <c r="F548" s="7" t="s">
        <v>71</v>
      </c>
      <c r="G548" s="7">
        <v>300</v>
      </c>
      <c r="H548" s="7" t="s">
        <v>1309</v>
      </c>
      <c r="I548" s="7" t="s">
        <v>1310</v>
      </c>
      <c r="J548" s="7" t="s">
        <v>1811</v>
      </c>
      <c r="K548" s="7" t="s">
        <v>1311</v>
      </c>
      <c r="L548" s="7">
        <v>48930</v>
      </c>
      <c r="M548" s="1">
        <v>41640</v>
      </c>
      <c r="N548" s="4">
        <v>1</v>
      </c>
      <c r="O548" s="2" t="s">
        <v>29</v>
      </c>
      <c r="P548" s="4">
        <v>2014</v>
      </c>
      <c r="Q548" t="str">
        <f>IF(Table1[[#This Row],[UnitsSold]]&gt;3000,"Large",IF(Table1[[#This Row],[UnitsSold]]&gt;1500,"Midium","Small"))</f>
        <v>Large</v>
      </c>
    </row>
    <row r="549" spans="1:17" x14ac:dyDescent="0.3">
      <c r="A549" s="2" t="s">
        <v>4</v>
      </c>
      <c r="B549" s="2" t="s">
        <v>9</v>
      </c>
      <c r="C549" s="2" t="s">
        <v>70</v>
      </c>
      <c r="D549" s="2" t="s">
        <v>1078</v>
      </c>
      <c r="E549" s="4">
        <v>886</v>
      </c>
      <c r="F549" s="7" t="s">
        <v>71</v>
      </c>
      <c r="G549" s="7">
        <v>350</v>
      </c>
      <c r="H549" s="7" t="s">
        <v>1281</v>
      </c>
      <c r="I549" s="7" t="s">
        <v>1282</v>
      </c>
      <c r="J549" s="7" t="s">
        <v>1806</v>
      </c>
      <c r="K549" s="7" t="s">
        <v>1283</v>
      </c>
      <c r="L549" s="7">
        <v>42528</v>
      </c>
      <c r="M549" s="1">
        <v>41791</v>
      </c>
      <c r="N549" s="4">
        <v>6</v>
      </c>
      <c r="O549" s="2" t="s">
        <v>34</v>
      </c>
      <c r="P549" s="4">
        <v>2014</v>
      </c>
      <c r="Q549" t="str">
        <f>IF(Table1[[#This Row],[UnitsSold]]&gt;3000,"Large",IF(Table1[[#This Row],[UnitsSold]]&gt;1500,"Midium","Small"))</f>
        <v>Small</v>
      </c>
    </row>
    <row r="550" spans="1:17" x14ac:dyDescent="0.3">
      <c r="A550" s="2" t="s">
        <v>10</v>
      </c>
      <c r="B550" s="2" t="s">
        <v>9</v>
      </c>
      <c r="C550" s="2" t="s">
        <v>70</v>
      </c>
      <c r="D550" s="2" t="s">
        <v>1078</v>
      </c>
      <c r="E550" s="4">
        <v>2156</v>
      </c>
      <c r="F550" s="7" t="s">
        <v>71</v>
      </c>
      <c r="G550" s="7">
        <v>125</v>
      </c>
      <c r="H550" s="7" t="s">
        <v>1287</v>
      </c>
      <c r="I550" s="7" t="s">
        <v>1288</v>
      </c>
      <c r="J550" s="7" t="s">
        <v>1808</v>
      </c>
      <c r="K550" s="7" t="s">
        <v>1289</v>
      </c>
      <c r="L550" s="7">
        <v>21560</v>
      </c>
      <c r="M550" s="1">
        <v>41913</v>
      </c>
      <c r="N550" s="4">
        <v>10</v>
      </c>
      <c r="O550" s="2" t="s">
        <v>66</v>
      </c>
      <c r="P550" s="4">
        <v>2014</v>
      </c>
      <c r="Q550" t="str">
        <f>IF(Table1[[#This Row],[UnitsSold]]&gt;3000,"Large",IF(Table1[[#This Row],[UnitsSold]]&gt;1500,"Midium","Small"))</f>
        <v>Midium</v>
      </c>
    </row>
    <row r="551" spans="1:17" x14ac:dyDescent="0.3">
      <c r="A551" s="2" t="s">
        <v>4</v>
      </c>
      <c r="B551" s="2" t="s">
        <v>9</v>
      </c>
      <c r="C551" s="2" t="s">
        <v>70</v>
      </c>
      <c r="D551" s="2" t="s">
        <v>1078</v>
      </c>
      <c r="E551" s="4">
        <v>905</v>
      </c>
      <c r="F551" s="7" t="s">
        <v>71</v>
      </c>
      <c r="G551" s="7">
        <v>20</v>
      </c>
      <c r="H551" s="7" t="s">
        <v>1312</v>
      </c>
      <c r="I551" s="7" t="s">
        <v>1313</v>
      </c>
      <c r="J551" s="7">
        <v>15928</v>
      </c>
      <c r="K551" s="7" t="s">
        <v>1314</v>
      </c>
      <c r="L551" s="7">
        <v>6878</v>
      </c>
      <c r="M551" s="1">
        <v>41913</v>
      </c>
      <c r="N551" s="4">
        <v>10</v>
      </c>
      <c r="O551" s="2" t="s">
        <v>66</v>
      </c>
      <c r="P551" s="4">
        <v>2014</v>
      </c>
      <c r="Q551" t="str">
        <f>IF(Table1[[#This Row],[UnitsSold]]&gt;3000,"Large",IF(Table1[[#This Row],[UnitsSold]]&gt;1500,"Midium","Small"))</f>
        <v>Small</v>
      </c>
    </row>
    <row r="552" spans="1:17" x14ac:dyDescent="0.3">
      <c r="A552" s="2" t="s">
        <v>4</v>
      </c>
      <c r="B552" s="2" t="s">
        <v>9</v>
      </c>
      <c r="C552" s="2" t="s">
        <v>70</v>
      </c>
      <c r="D552" s="2" t="s">
        <v>1078</v>
      </c>
      <c r="E552" s="4">
        <v>1715</v>
      </c>
      <c r="F552" s="7" t="s">
        <v>71</v>
      </c>
      <c r="G552" s="7">
        <v>20</v>
      </c>
      <c r="H552" s="7" t="s">
        <v>1303</v>
      </c>
      <c r="I552" s="7" t="s">
        <v>1304</v>
      </c>
      <c r="J552" s="7">
        <v>30184</v>
      </c>
      <c r="K552" s="7" t="s">
        <v>1305</v>
      </c>
      <c r="L552" s="7">
        <v>13034</v>
      </c>
      <c r="M552" s="1">
        <v>41548</v>
      </c>
      <c r="N552" s="4">
        <v>10</v>
      </c>
      <c r="O552" s="2" t="s">
        <v>66</v>
      </c>
      <c r="P552" s="4">
        <v>2013</v>
      </c>
      <c r="Q552" t="str">
        <f>IF(Table1[[#This Row],[UnitsSold]]&gt;3000,"Large",IF(Table1[[#This Row],[UnitsSold]]&gt;1500,"Midium","Small"))</f>
        <v>Midium</v>
      </c>
    </row>
    <row r="553" spans="1:17" x14ac:dyDescent="0.3">
      <c r="A553" s="2" t="s">
        <v>4</v>
      </c>
      <c r="B553" s="2" t="s">
        <v>8</v>
      </c>
      <c r="C553" s="2" t="s">
        <v>70</v>
      </c>
      <c r="D553" s="2" t="s">
        <v>1078</v>
      </c>
      <c r="E553" s="4">
        <v>1594</v>
      </c>
      <c r="F553" s="7" t="s">
        <v>71</v>
      </c>
      <c r="G553" s="7">
        <v>350</v>
      </c>
      <c r="H553" s="7" t="s">
        <v>1315</v>
      </c>
      <c r="I553" s="7" t="s">
        <v>1316</v>
      </c>
      <c r="J553" s="7" t="s">
        <v>1812</v>
      </c>
      <c r="K553" s="7" t="s">
        <v>1317</v>
      </c>
      <c r="L553" s="7">
        <v>76512</v>
      </c>
      <c r="M553" s="1">
        <v>41944</v>
      </c>
      <c r="N553" s="4">
        <v>11</v>
      </c>
      <c r="O553" s="2" t="s">
        <v>94</v>
      </c>
      <c r="P553" s="4">
        <v>2014</v>
      </c>
      <c r="Q553" t="str">
        <f>IF(Table1[[#This Row],[UnitsSold]]&gt;3000,"Large",IF(Table1[[#This Row],[UnitsSold]]&gt;1500,"Midium","Small"))</f>
        <v>Midium</v>
      </c>
    </row>
    <row r="554" spans="1:17" x14ac:dyDescent="0.3">
      <c r="A554" s="2" t="s">
        <v>57</v>
      </c>
      <c r="B554" s="2" t="s">
        <v>6</v>
      </c>
      <c r="C554" s="2" t="s">
        <v>70</v>
      </c>
      <c r="D554" s="2" t="s">
        <v>1078</v>
      </c>
      <c r="E554" s="4">
        <v>1359</v>
      </c>
      <c r="F554" s="7" t="s">
        <v>71</v>
      </c>
      <c r="G554" s="7">
        <v>300</v>
      </c>
      <c r="H554" s="7" t="s">
        <v>1318</v>
      </c>
      <c r="I554" s="7" t="s">
        <v>1319</v>
      </c>
      <c r="J554" s="7" t="s">
        <v>1813</v>
      </c>
      <c r="K554" s="7" t="s">
        <v>1320</v>
      </c>
      <c r="L554" s="7">
        <v>19026</v>
      </c>
      <c r="M554" s="1">
        <v>41944</v>
      </c>
      <c r="N554" s="4">
        <v>11</v>
      </c>
      <c r="O554" s="2" t="s">
        <v>94</v>
      </c>
      <c r="P554" s="4">
        <v>2014</v>
      </c>
      <c r="Q554" t="str">
        <f>IF(Table1[[#This Row],[UnitsSold]]&gt;3000,"Large",IF(Table1[[#This Row],[UnitsSold]]&gt;1500,"Midium","Small"))</f>
        <v>Small</v>
      </c>
    </row>
    <row r="555" spans="1:17" x14ac:dyDescent="0.3">
      <c r="A555" s="2" t="s">
        <v>57</v>
      </c>
      <c r="B555" s="2" t="s">
        <v>9</v>
      </c>
      <c r="C555" s="2" t="s">
        <v>70</v>
      </c>
      <c r="D555" s="2" t="s">
        <v>1078</v>
      </c>
      <c r="E555" s="4">
        <v>2150</v>
      </c>
      <c r="F555" s="7" t="s">
        <v>71</v>
      </c>
      <c r="G555" s="7">
        <v>300</v>
      </c>
      <c r="H555" s="7" t="s">
        <v>1321</v>
      </c>
      <c r="I555" s="7" t="s">
        <v>1322</v>
      </c>
      <c r="J555" s="7" t="s">
        <v>1814</v>
      </c>
      <c r="K555" s="7" t="s">
        <v>1323</v>
      </c>
      <c r="L555" s="7">
        <v>30100</v>
      </c>
      <c r="M555" s="1">
        <v>41944</v>
      </c>
      <c r="N555" s="4">
        <v>11</v>
      </c>
      <c r="O555" s="2" t="s">
        <v>94</v>
      </c>
      <c r="P555" s="4">
        <v>2014</v>
      </c>
      <c r="Q555" t="str">
        <f>IF(Table1[[#This Row],[UnitsSold]]&gt;3000,"Large",IF(Table1[[#This Row],[UnitsSold]]&gt;1500,"Midium","Small"))</f>
        <v>Midium</v>
      </c>
    </row>
    <row r="556" spans="1:17" x14ac:dyDescent="0.3">
      <c r="A556" s="2" t="s">
        <v>4</v>
      </c>
      <c r="B556" s="2" t="s">
        <v>9</v>
      </c>
      <c r="C556" s="2" t="s">
        <v>70</v>
      </c>
      <c r="D556" s="2" t="s">
        <v>1078</v>
      </c>
      <c r="E556" s="4">
        <v>1197</v>
      </c>
      <c r="F556" s="7" t="s">
        <v>71</v>
      </c>
      <c r="G556" s="7">
        <v>350</v>
      </c>
      <c r="H556" s="7" t="s">
        <v>1324</v>
      </c>
      <c r="I556" s="7" t="s">
        <v>1325</v>
      </c>
      <c r="J556" s="7" t="s">
        <v>1815</v>
      </c>
      <c r="K556" s="7" t="s">
        <v>1326</v>
      </c>
      <c r="L556" s="7">
        <v>57456</v>
      </c>
      <c r="M556" s="1">
        <v>41944</v>
      </c>
      <c r="N556" s="4">
        <v>11</v>
      </c>
      <c r="O556" s="2" t="s">
        <v>94</v>
      </c>
      <c r="P556" s="4">
        <v>2014</v>
      </c>
      <c r="Q556" t="str">
        <f>IF(Table1[[#This Row],[UnitsSold]]&gt;3000,"Large",IF(Table1[[#This Row],[UnitsSold]]&gt;1500,"Midium","Small"))</f>
        <v>Small</v>
      </c>
    </row>
    <row r="557" spans="1:17" x14ac:dyDescent="0.3">
      <c r="A557" s="2" t="s">
        <v>7</v>
      </c>
      <c r="B557" s="2" t="s">
        <v>9</v>
      </c>
      <c r="C557" s="2" t="s">
        <v>70</v>
      </c>
      <c r="D557" s="2" t="s">
        <v>1078</v>
      </c>
      <c r="E557" s="4">
        <v>380</v>
      </c>
      <c r="F557" s="7" t="s">
        <v>71</v>
      </c>
      <c r="G557" s="7">
        <v>15</v>
      </c>
      <c r="H557" s="7" t="s">
        <v>1327</v>
      </c>
      <c r="I557" s="7" t="s">
        <v>1328</v>
      </c>
      <c r="J557" s="7">
        <v>5016</v>
      </c>
      <c r="K557" s="7" t="s">
        <v>1329</v>
      </c>
      <c r="L557" s="7">
        <v>1216</v>
      </c>
      <c r="M557" s="1">
        <v>41609</v>
      </c>
      <c r="N557" s="4">
        <v>12</v>
      </c>
      <c r="O557" s="2" t="s">
        <v>41</v>
      </c>
      <c r="P557" s="4">
        <v>2013</v>
      </c>
      <c r="Q557" t="str">
        <f>IF(Table1[[#This Row],[UnitsSold]]&gt;3000,"Large",IF(Table1[[#This Row],[UnitsSold]]&gt;1500,"Midium","Small"))</f>
        <v>Small</v>
      </c>
    </row>
    <row r="558" spans="1:17" x14ac:dyDescent="0.3">
      <c r="A558" s="2" t="s">
        <v>4</v>
      </c>
      <c r="B558" s="2" t="s">
        <v>9</v>
      </c>
      <c r="C558" s="2" t="s">
        <v>70</v>
      </c>
      <c r="D558" s="2" t="s">
        <v>1078</v>
      </c>
      <c r="E558" s="4">
        <v>1233</v>
      </c>
      <c r="F558" s="7" t="s">
        <v>71</v>
      </c>
      <c r="G558" s="7">
        <v>20</v>
      </c>
      <c r="H558" s="7" t="s">
        <v>1330</v>
      </c>
      <c r="I558" s="7" t="s">
        <v>1331</v>
      </c>
      <c r="J558" s="7">
        <v>21700.799999999999</v>
      </c>
      <c r="K558" s="7" t="s">
        <v>1332</v>
      </c>
      <c r="L558" s="7">
        <v>9370.7999999999993</v>
      </c>
      <c r="M558" s="1">
        <v>41974</v>
      </c>
      <c r="N558" s="4">
        <v>12</v>
      </c>
      <c r="O558" s="2" t="s">
        <v>41</v>
      </c>
      <c r="P558" s="4">
        <v>2014</v>
      </c>
      <c r="Q558" t="str">
        <f>IF(Table1[[#This Row],[UnitsSold]]&gt;3000,"Large",IF(Table1[[#This Row],[UnitsSold]]&gt;1500,"Midium","Small"))</f>
        <v>Small</v>
      </c>
    </row>
    <row r="559" spans="1:17" x14ac:dyDescent="0.3">
      <c r="A559" s="2" t="s">
        <v>4</v>
      </c>
      <c r="B559" s="2" t="s">
        <v>9</v>
      </c>
      <c r="C559" s="2" t="s">
        <v>101</v>
      </c>
      <c r="D559" s="2" t="s">
        <v>1078</v>
      </c>
      <c r="E559" s="4">
        <v>1395</v>
      </c>
      <c r="F559" s="7" t="s">
        <v>102</v>
      </c>
      <c r="G559" s="7">
        <v>350</v>
      </c>
      <c r="H559" s="7" t="s">
        <v>1333</v>
      </c>
      <c r="I559" s="7" t="s">
        <v>1334</v>
      </c>
      <c r="J559" s="7" t="s">
        <v>1816</v>
      </c>
      <c r="K559" s="7" t="s">
        <v>1335</v>
      </c>
      <c r="L559" s="7">
        <v>66960</v>
      </c>
      <c r="M559" s="1">
        <v>41821</v>
      </c>
      <c r="N559" s="4">
        <v>7</v>
      </c>
      <c r="O559" s="2" t="s">
        <v>56</v>
      </c>
      <c r="P559" s="4">
        <v>2014</v>
      </c>
      <c r="Q559" t="str">
        <f>IF(Table1[[#This Row],[UnitsSold]]&gt;3000,"Large",IF(Table1[[#This Row],[UnitsSold]]&gt;1500,"Midium","Small"))</f>
        <v>Small</v>
      </c>
    </row>
    <row r="560" spans="1:17" x14ac:dyDescent="0.3">
      <c r="A560" s="2" t="s">
        <v>4</v>
      </c>
      <c r="B560" s="2" t="s">
        <v>67</v>
      </c>
      <c r="C560" s="2" t="s">
        <v>101</v>
      </c>
      <c r="D560" s="2" t="s">
        <v>1078</v>
      </c>
      <c r="E560" s="4">
        <v>986</v>
      </c>
      <c r="F560" s="7" t="s">
        <v>102</v>
      </c>
      <c r="G560" s="7">
        <v>350</v>
      </c>
      <c r="H560" s="7" t="s">
        <v>1336</v>
      </c>
      <c r="I560" s="7" t="s">
        <v>1337</v>
      </c>
      <c r="J560" s="7" t="s">
        <v>1817</v>
      </c>
      <c r="K560" s="7" t="s">
        <v>1338</v>
      </c>
      <c r="L560" s="7">
        <v>47328</v>
      </c>
      <c r="M560" s="1">
        <v>41913</v>
      </c>
      <c r="N560" s="4">
        <v>10</v>
      </c>
      <c r="O560" s="2" t="s">
        <v>66</v>
      </c>
      <c r="P560" s="4">
        <v>2014</v>
      </c>
      <c r="Q560" t="str">
        <f>IF(Table1[[#This Row],[UnitsSold]]&gt;3000,"Large",IF(Table1[[#This Row],[UnitsSold]]&gt;1500,"Midium","Small"))</f>
        <v>Small</v>
      </c>
    </row>
    <row r="561" spans="1:17" x14ac:dyDescent="0.3">
      <c r="A561" s="2" t="s">
        <v>4</v>
      </c>
      <c r="B561" s="2" t="s">
        <v>9</v>
      </c>
      <c r="C561" s="2" t="s">
        <v>101</v>
      </c>
      <c r="D561" s="2" t="s">
        <v>1078</v>
      </c>
      <c r="E561" s="4">
        <v>905</v>
      </c>
      <c r="F561" s="7" t="s">
        <v>102</v>
      </c>
      <c r="G561" s="7">
        <v>20</v>
      </c>
      <c r="H561" s="7" t="s">
        <v>1312</v>
      </c>
      <c r="I561" s="7" t="s">
        <v>1313</v>
      </c>
      <c r="J561" s="7">
        <v>15928</v>
      </c>
      <c r="K561" s="7" t="s">
        <v>1314</v>
      </c>
      <c r="L561" s="7">
        <v>6878</v>
      </c>
      <c r="M561" s="1">
        <v>41913</v>
      </c>
      <c r="N561" s="4">
        <v>10</v>
      </c>
      <c r="O561" s="2" t="s">
        <v>66</v>
      </c>
      <c r="P561" s="4">
        <v>2014</v>
      </c>
      <c r="Q561" t="str">
        <f>IF(Table1[[#This Row],[UnitsSold]]&gt;3000,"Large",IF(Table1[[#This Row],[UnitsSold]]&gt;1500,"Midium","Small"))</f>
        <v>Small</v>
      </c>
    </row>
    <row r="562" spans="1:17" x14ac:dyDescent="0.3">
      <c r="A562" s="2" t="s">
        <v>47</v>
      </c>
      <c r="B562" s="2" t="s">
        <v>5</v>
      </c>
      <c r="C562" s="2" t="s">
        <v>111</v>
      </c>
      <c r="D562" s="2" t="s">
        <v>1078</v>
      </c>
      <c r="E562" s="4">
        <v>2109</v>
      </c>
      <c r="F562" s="7" t="s">
        <v>112</v>
      </c>
      <c r="G562" s="7">
        <v>12</v>
      </c>
      <c r="H562" s="7" t="s">
        <v>1339</v>
      </c>
      <c r="I562" s="7" t="s">
        <v>1340</v>
      </c>
      <c r="J562" s="7">
        <v>22271.040000000001</v>
      </c>
      <c r="K562" s="7" t="s">
        <v>1341</v>
      </c>
      <c r="L562" s="7">
        <v>15944.04</v>
      </c>
      <c r="M562" s="1">
        <v>41760</v>
      </c>
      <c r="N562" s="4">
        <v>5</v>
      </c>
      <c r="O562" s="2" t="s">
        <v>145</v>
      </c>
      <c r="P562" s="4">
        <v>2014</v>
      </c>
      <c r="Q562" t="str">
        <f>IF(Table1[[#This Row],[UnitsSold]]&gt;3000,"Large",IF(Table1[[#This Row],[UnitsSold]]&gt;1500,"Midium","Small"))</f>
        <v>Midium</v>
      </c>
    </row>
    <row r="563" spans="1:17" x14ac:dyDescent="0.3">
      <c r="A563" s="2" t="s">
        <v>7</v>
      </c>
      <c r="B563" s="2" t="s">
        <v>8</v>
      </c>
      <c r="C563" s="2" t="s">
        <v>111</v>
      </c>
      <c r="D563" s="2" t="s">
        <v>1078</v>
      </c>
      <c r="E563" s="4">
        <v>3874.5</v>
      </c>
      <c r="F563" s="7" t="s">
        <v>112</v>
      </c>
      <c r="G563" s="7">
        <v>15</v>
      </c>
      <c r="H563" s="7" t="s">
        <v>1342</v>
      </c>
      <c r="I563" s="7" t="s">
        <v>1343</v>
      </c>
      <c r="J563" s="7">
        <v>51143.4</v>
      </c>
      <c r="K563" s="7" t="s">
        <v>1344</v>
      </c>
      <c r="L563" s="7">
        <v>12398.4</v>
      </c>
      <c r="M563" s="1">
        <v>41821</v>
      </c>
      <c r="N563" s="4">
        <v>7</v>
      </c>
      <c r="O563" s="2" t="s">
        <v>56</v>
      </c>
      <c r="P563" s="4">
        <v>2014</v>
      </c>
      <c r="Q563" t="str">
        <f>IF(Table1[[#This Row],[UnitsSold]]&gt;3000,"Large",IF(Table1[[#This Row],[UnitsSold]]&gt;1500,"Midium","Small"))</f>
        <v>Large</v>
      </c>
    </row>
    <row r="564" spans="1:17" x14ac:dyDescent="0.3">
      <c r="A564" s="2" t="s">
        <v>4</v>
      </c>
      <c r="B564" s="2" t="s">
        <v>5</v>
      </c>
      <c r="C564" s="2" t="s">
        <v>111</v>
      </c>
      <c r="D564" s="2" t="s">
        <v>1078</v>
      </c>
      <c r="E564" s="4">
        <v>623</v>
      </c>
      <c r="F564" s="7" t="s">
        <v>112</v>
      </c>
      <c r="G564" s="7">
        <v>350</v>
      </c>
      <c r="H564" s="7" t="s">
        <v>1345</v>
      </c>
      <c r="I564" s="7" t="s">
        <v>1346</v>
      </c>
      <c r="J564" s="7" t="s">
        <v>1818</v>
      </c>
      <c r="K564" s="7" t="s">
        <v>1347</v>
      </c>
      <c r="L564" s="7">
        <v>29904</v>
      </c>
      <c r="M564" s="1">
        <v>41518</v>
      </c>
      <c r="N564" s="4">
        <v>9</v>
      </c>
      <c r="O564" s="2" t="s">
        <v>63</v>
      </c>
      <c r="P564" s="4">
        <v>2013</v>
      </c>
      <c r="Q564" t="str">
        <f>IF(Table1[[#This Row],[UnitsSold]]&gt;3000,"Large",IF(Table1[[#This Row],[UnitsSold]]&gt;1500,"Midium","Small"))</f>
        <v>Small</v>
      </c>
    </row>
    <row r="565" spans="1:17" x14ac:dyDescent="0.3">
      <c r="A565" s="2" t="s">
        <v>4</v>
      </c>
      <c r="B565" s="2" t="s">
        <v>67</v>
      </c>
      <c r="C565" s="2" t="s">
        <v>111</v>
      </c>
      <c r="D565" s="2" t="s">
        <v>1078</v>
      </c>
      <c r="E565" s="4">
        <v>986</v>
      </c>
      <c r="F565" s="7" t="s">
        <v>112</v>
      </c>
      <c r="G565" s="7">
        <v>350</v>
      </c>
      <c r="H565" s="7" t="s">
        <v>1336</v>
      </c>
      <c r="I565" s="7" t="s">
        <v>1337</v>
      </c>
      <c r="J565" s="7" t="s">
        <v>1817</v>
      </c>
      <c r="K565" s="7" t="s">
        <v>1338</v>
      </c>
      <c r="L565" s="7">
        <v>47328</v>
      </c>
      <c r="M565" s="1">
        <v>41913</v>
      </c>
      <c r="N565" s="4">
        <v>10</v>
      </c>
      <c r="O565" s="2" t="s">
        <v>66</v>
      </c>
      <c r="P565" s="4">
        <v>2014</v>
      </c>
      <c r="Q565" t="str">
        <f>IF(Table1[[#This Row],[UnitsSold]]&gt;3000,"Large",IF(Table1[[#This Row],[UnitsSold]]&gt;1500,"Midium","Small"))</f>
        <v>Small</v>
      </c>
    </row>
    <row r="566" spans="1:17" x14ac:dyDescent="0.3">
      <c r="A566" s="2" t="s">
        <v>10</v>
      </c>
      <c r="B566" s="2" t="s">
        <v>67</v>
      </c>
      <c r="C566" s="2" t="s">
        <v>111</v>
      </c>
      <c r="D566" s="2" t="s">
        <v>1078</v>
      </c>
      <c r="E566" s="4">
        <v>2387</v>
      </c>
      <c r="F566" s="7" t="s">
        <v>112</v>
      </c>
      <c r="G566" s="7">
        <v>125</v>
      </c>
      <c r="H566" s="7" t="s">
        <v>1348</v>
      </c>
      <c r="I566" s="7" t="s">
        <v>1349</v>
      </c>
      <c r="J566" s="7" t="s">
        <v>1819</v>
      </c>
      <c r="K566" s="7" t="s">
        <v>1350</v>
      </c>
      <c r="L566" s="7">
        <v>23870</v>
      </c>
      <c r="M566" s="1">
        <v>41944</v>
      </c>
      <c r="N566" s="4">
        <v>11</v>
      </c>
      <c r="O566" s="2" t="s">
        <v>94</v>
      </c>
      <c r="P566" s="4">
        <v>2014</v>
      </c>
      <c r="Q566" t="str">
        <f>IF(Table1[[#This Row],[UnitsSold]]&gt;3000,"Large",IF(Table1[[#This Row],[UnitsSold]]&gt;1500,"Midium","Small"))</f>
        <v>Midium</v>
      </c>
    </row>
    <row r="567" spans="1:17" x14ac:dyDescent="0.3">
      <c r="A567" s="2" t="s">
        <v>4</v>
      </c>
      <c r="B567" s="2" t="s">
        <v>9</v>
      </c>
      <c r="C567" s="2" t="s">
        <v>111</v>
      </c>
      <c r="D567" s="2" t="s">
        <v>1078</v>
      </c>
      <c r="E567" s="4">
        <v>1233</v>
      </c>
      <c r="F567" s="7" t="s">
        <v>112</v>
      </c>
      <c r="G567" s="7">
        <v>20</v>
      </c>
      <c r="H567" s="7" t="s">
        <v>1330</v>
      </c>
      <c r="I567" s="7" t="s">
        <v>1331</v>
      </c>
      <c r="J567" s="7">
        <v>21700.799999999999</v>
      </c>
      <c r="K567" s="7" t="s">
        <v>1332</v>
      </c>
      <c r="L567" s="7">
        <v>9370.7999999999993</v>
      </c>
      <c r="M567" s="1">
        <v>41974</v>
      </c>
      <c r="N567" s="4">
        <v>12</v>
      </c>
      <c r="O567" s="2" t="s">
        <v>41</v>
      </c>
      <c r="P567" s="4">
        <v>2014</v>
      </c>
      <c r="Q567" t="str">
        <f>IF(Table1[[#This Row],[UnitsSold]]&gt;3000,"Large",IF(Table1[[#This Row],[UnitsSold]]&gt;1500,"Midium","Small"))</f>
        <v>Small</v>
      </c>
    </row>
    <row r="568" spans="1:17" x14ac:dyDescent="0.3">
      <c r="A568" s="2" t="s">
        <v>4</v>
      </c>
      <c r="B568" s="2" t="s">
        <v>67</v>
      </c>
      <c r="C568" s="2" t="s">
        <v>122</v>
      </c>
      <c r="D568" s="2" t="s">
        <v>1078</v>
      </c>
      <c r="E568" s="4">
        <v>270</v>
      </c>
      <c r="F568" s="7" t="s">
        <v>123</v>
      </c>
      <c r="G568" s="7">
        <v>350</v>
      </c>
      <c r="H568" s="7" t="s">
        <v>1351</v>
      </c>
      <c r="I568" s="7" t="s">
        <v>1352</v>
      </c>
      <c r="J568" s="7">
        <v>83160</v>
      </c>
      <c r="K568" s="7" t="s">
        <v>1353</v>
      </c>
      <c r="L568" s="7">
        <v>12960</v>
      </c>
      <c r="M568" s="1">
        <v>41671</v>
      </c>
      <c r="N568" s="4">
        <v>2</v>
      </c>
      <c r="O568" s="2" t="s">
        <v>74</v>
      </c>
      <c r="P568" s="4">
        <v>2014</v>
      </c>
      <c r="Q568" t="str">
        <f>IF(Table1[[#This Row],[UnitsSold]]&gt;3000,"Large",IF(Table1[[#This Row],[UnitsSold]]&gt;1500,"Midium","Small"))</f>
        <v>Small</v>
      </c>
    </row>
    <row r="569" spans="1:17" x14ac:dyDescent="0.3">
      <c r="A569" s="2" t="s">
        <v>4</v>
      </c>
      <c r="B569" s="2" t="s">
        <v>8</v>
      </c>
      <c r="C569" s="2" t="s">
        <v>122</v>
      </c>
      <c r="D569" s="2" t="s">
        <v>1078</v>
      </c>
      <c r="E569" s="4">
        <v>3421.5</v>
      </c>
      <c r="F569" s="7" t="s">
        <v>123</v>
      </c>
      <c r="G569" s="7">
        <v>7</v>
      </c>
      <c r="H569" s="7" t="s">
        <v>1354</v>
      </c>
      <c r="I569" s="7" t="s">
        <v>1355</v>
      </c>
      <c r="J569" s="7">
        <v>21076.44</v>
      </c>
      <c r="K569" s="7" t="s">
        <v>1356</v>
      </c>
      <c r="L569" s="7">
        <v>3968.94</v>
      </c>
      <c r="M569" s="1">
        <v>41821</v>
      </c>
      <c r="N569" s="4">
        <v>7</v>
      </c>
      <c r="O569" s="2" t="s">
        <v>56</v>
      </c>
      <c r="P569" s="4">
        <v>2014</v>
      </c>
      <c r="Q569" t="str">
        <f>IF(Table1[[#This Row],[UnitsSold]]&gt;3000,"Large",IF(Table1[[#This Row],[UnitsSold]]&gt;1500,"Midium","Small"))</f>
        <v>Large</v>
      </c>
    </row>
    <row r="570" spans="1:17" x14ac:dyDescent="0.3">
      <c r="A570" s="2" t="s">
        <v>4</v>
      </c>
      <c r="B570" s="2" t="s">
        <v>5</v>
      </c>
      <c r="C570" s="2" t="s">
        <v>122</v>
      </c>
      <c r="D570" s="2" t="s">
        <v>1078</v>
      </c>
      <c r="E570" s="4">
        <v>2734</v>
      </c>
      <c r="F570" s="7" t="s">
        <v>123</v>
      </c>
      <c r="G570" s="7">
        <v>7</v>
      </c>
      <c r="H570" s="7" t="s">
        <v>1300</v>
      </c>
      <c r="I570" s="7" t="s">
        <v>1301</v>
      </c>
      <c r="J570" s="7">
        <v>16841.439999999999</v>
      </c>
      <c r="K570" s="7" t="s">
        <v>1302</v>
      </c>
      <c r="L570" s="7">
        <v>3171.44</v>
      </c>
      <c r="M570" s="1">
        <v>41913</v>
      </c>
      <c r="N570" s="4">
        <v>10</v>
      </c>
      <c r="O570" s="2" t="s">
        <v>66</v>
      </c>
      <c r="P570" s="4">
        <v>2014</v>
      </c>
      <c r="Q570" t="str">
        <f>IF(Table1[[#This Row],[UnitsSold]]&gt;3000,"Large",IF(Table1[[#This Row],[UnitsSold]]&gt;1500,"Midium","Small"))</f>
        <v>Midium</v>
      </c>
    </row>
    <row r="571" spans="1:17" x14ac:dyDescent="0.3">
      <c r="A571" s="2" t="s">
        <v>7</v>
      </c>
      <c r="B571" s="2" t="s">
        <v>67</v>
      </c>
      <c r="C571" s="2" t="s">
        <v>122</v>
      </c>
      <c r="D571" s="2" t="s">
        <v>1078</v>
      </c>
      <c r="E571" s="4">
        <v>2548</v>
      </c>
      <c r="F571" s="7" t="s">
        <v>123</v>
      </c>
      <c r="G571" s="7">
        <v>15</v>
      </c>
      <c r="H571" s="7" t="s">
        <v>1357</v>
      </c>
      <c r="I571" s="7" t="s">
        <v>1358</v>
      </c>
      <c r="J571" s="7">
        <v>33633.599999999999</v>
      </c>
      <c r="K571" s="7" t="s">
        <v>1359</v>
      </c>
      <c r="L571" s="7">
        <v>8153.6</v>
      </c>
      <c r="M571" s="1">
        <v>41579</v>
      </c>
      <c r="N571" s="4">
        <v>11</v>
      </c>
      <c r="O571" s="2" t="s">
        <v>94</v>
      </c>
      <c r="P571" s="4">
        <v>2013</v>
      </c>
      <c r="Q571" t="str">
        <f>IF(Table1[[#This Row],[UnitsSold]]&gt;3000,"Large",IF(Table1[[#This Row],[UnitsSold]]&gt;1500,"Midium","Small"))</f>
        <v>Midium</v>
      </c>
    </row>
    <row r="572" spans="1:17" x14ac:dyDescent="0.3">
      <c r="A572" s="2" t="s">
        <v>4</v>
      </c>
      <c r="B572" s="2" t="s">
        <v>8</v>
      </c>
      <c r="C572" s="2" t="s">
        <v>23</v>
      </c>
      <c r="D572" s="2" t="s">
        <v>1078</v>
      </c>
      <c r="E572" s="4">
        <v>2521.5</v>
      </c>
      <c r="F572" s="7" t="s">
        <v>25</v>
      </c>
      <c r="G572" s="7">
        <v>20</v>
      </c>
      <c r="H572" s="7" t="s">
        <v>1360</v>
      </c>
      <c r="I572" s="7" t="s">
        <v>1361</v>
      </c>
      <c r="J572" s="7">
        <v>44378.400000000001</v>
      </c>
      <c r="K572" s="7" t="s">
        <v>1362</v>
      </c>
      <c r="L572" s="7">
        <v>19163.400000000001</v>
      </c>
      <c r="M572" s="1">
        <v>41640</v>
      </c>
      <c r="N572" s="4">
        <v>1</v>
      </c>
      <c r="O572" s="2" t="s">
        <v>29</v>
      </c>
      <c r="P572" s="4">
        <v>2014</v>
      </c>
      <c r="Q572" t="str">
        <f>IF(Table1[[#This Row],[UnitsSold]]&gt;3000,"Large",IF(Table1[[#This Row],[UnitsSold]]&gt;1500,"Midium","Small"))</f>
        <v>Midium</v>
      </c>
    </row>
    <row r="573" spans="1:17" x14ac:dyDescent="0.3">
      <c r="A573" s="2" t="s">
        <v>47</v>
      </c>
      <c r="B573" s="2" t="s">
        <v>9</v>
      </c>
      <c r="C573" s="2" t="s">
        <v>42</v>
      </c>
      <c r="D573" s="2" t="s">
        <v>1078</v>
      </c>
      <c r="E573" s="4">
        <v>2661</v>
      </c>
      <c r="F573" s="7" t="s">
        <v>43</v>
      </c>
      <c r="G573" s="7">
        <v>12</v>
      </c>
      <c r="H573" s="7" t="s">
        <v>1363</v>
      </c>
      <c r="I573" s="7" t="s">
        <v>1364</v>
      </c>
      <c r="J573" s="7">
        <v>28100.16</v>
      </c>
      <c r="K573" s="7" t="s">
        <v>1365</v>
      </c>
      <c r="L573" s="7">
        <v>20117.16</v>
      </c>
      <c r="M573" s="1">
        <v>41760</v>
      </c>
      <c r="N573" s="4">
        <v>5</v>
      </c>
      <c r="O573" s="2" t="s">
        <v>145</v>
      </c>
      <c r="P573" s="4">
        <v>2014</v>
      </c>
      <c r="Q573" t="str">
        <f>IF(Table1[[#This Row],[UnitsSold]]&gt;3000,"Large",IF(Table1[[#This Row],[UnitsSold]]&gt;1500,"Midium","Small"))</f>
        <v>Midium</v>
      </c>
    </row>
    <row r="574" spans="1:17" x14ac:dyDescent="0.3">
      <c r="A574" s="2" t="s">
        <v>4</v>
      </c>
      <c r="B574" s="2" t="s">
        <v>6</v>
      </c>
      <c r="C574" s="2" t="s">
        <v>70</v>
      </c>
      <c r="D574" s="2" t="s">
        <v>1078</v>
      </c>
      <c r="E574" s="4">
        <v>1531</v>
      </c>
      <c r="F574" s="7" t="s">
        <v>71</v>
      </c>
      <c r="G574" s="7">
        <v>20</v>
      </c>
      <c r="H574" s="7" t="s">
        <v>1366</v>
      </c>
      <c r="I574" s="7" t="s">
        <v>1367</v>
      </c>
      <c r="J574" s="7">
        <v>26945.599999999999</v>
      </c>
      <c r="K574" s="7" t="s">
        <v>1368</v>
      </c>
      <c r="L574" s="7">
        <v>11635.6</v>
      </c>
      <c r="M574" s="1">
        <v>41974</v>
      </c>
      <c r="N574" s="4">
        <v>12</v>
      </c>
      <c r="O574" s="2" t="s">
        <v>41</v>
      </c>
      <c r="P574" s="4">
        <v>2014</v>
      </c>
      <c r="Q574" t="str">
        <f>IF(Table1[[#This Row],[UnitsSold]]&gt;3000,"Large",IF(Table1[[#This Row],[UnitsSold]]&gt;1500,"Midium","Small"))</f>
        <v>Midium</v>
      </c>
    </row>
    <row r="575" spans="1:17" x14ac:dyDescent="0.3">
      <c r="A575" s="2" t="s">
        <v>4</v>
      </c>
      <c r="B575" s="2" t="s">
        <v>8</v>
      </c>
      <c r="C575" s="2" t="s">
        <v>111</v>
      </c>
      <c r="D575" s="2" t="s">
        <v>1078</v>
      </c>
      <c r="E575" s="4">
        <v>1491</v>
      </c>
      <c r="F575" s="7" t="s">
        <v>112</v>
      </c>
      <c r="G575" s="7">
        <v>7</v>
      </c>
      <c r="H575" s="7" t="s">
        <v>1369</v>
      </c>
      <c r="I575" s="7" t="s">
        <v>1370</v>
      </c>
      <c r="J575" s="7">
        <v>9184.56</v>
      </c>
      <c r="K575" s="7" t="s">
        <v>1371</v>
      </c>
      <c r="L575" s="7">
        <v>1729.56</v>
      </c>
      <c r="M575" s="1">
        <v>41699</v>
      </c>
      <c r="N575" s="4">
        <v>3</v>
      </c>
      <c r="O575" s="2" t="s">
        <v>46</v>
      </c>
      <c r="P575" s="4">
        <v>2014</v>
      </c>
      <c r="Q575" t="str">
        <f>IF(Table1[[#This Row],[UnitsSold]]&gt;3000,"Large",IF(Table1[[#This Row],[UnitsSold]]&gt;1500,"Midium","Small"))</f>
        <v>Small</v>
      </c>
    </row>
    <row r="576" spans="1:17" x14ac:dyDescent="0.3">
      <c r="A576" s="2" t="s">
        <v>4</v>
      </c>
      <c r="B576" s="2" t="s">
        <v>6</v>
      </c>
      <c r="C576" s="2" t="s">
        <v>111</v>
      </c>
      <c r="D576" s="2" t="s">
        <v>1078</v>
      </c>
      <c r="E576" s="4">
        <v>1531</v>
      </c>
      <c r="F576" s="7" t="s">
        <v>112</v>
      </c>
      <c r="G576" s="7">
        <v>20</v>
      </c>
      <c r="H576" s="7" t="s">
        <v>1366</v>
      </c>
      <c r="I576" s="7" t="s">
        <v>1367</v>
      </c>
      <c r="J576" s="7">
        <v>26945.599999999999</v>
      </c>
      <c r="K576" s="7" t="s">
        <v>1368</v>
      </c>
      <c r="L576" s="7">
        <v>11635.6</v>
      </c>
      <c r="M576" s="1">
        <v>41974</v>
      </c>
      <c r="N576" s="4">
        <v>12</v>
      </c>
      <c r="O576" s="2" t="s">
        <v>41</v>
      </c>
      <c r="P576" s="4">
        <v>2014</v>
      </c>
      <c r="Q576" t="str">
        <f>IF(Table1[[#This Row],[UnitsSold]]&gt;3000,"Large",IF(Table1[[#This Row],[UnitsSold]]&gt;1500,"Midium","Small"))</f>
        <v>Midium</v>
      </c>
    </row>
    <row r="577" spans="1:17" x14ac:dyDescent="0.3">
      <c r="A577" s="2" t="s">
        <v>47</v>
      </c>
      <c r="B577" s="2" t="s">
        <v>5</v>
      </c>
      <c r="C577" s="2" t="s">
        <v>122</v>
      </c>
      <c r="D577" s="2" t="s">
        <v>1078</v>
      </c>
      <c r="E577" s="4">
        <v>2761</v>
      </c>
      <c r="F577" s="7" t="s">
        <v>123</v>
      </c>
      <c r="G577" s="7">
        <v>12</v>
      </c>
      <c r="H577" s="7" t="s">
        <v>1372</v>
      </c>
      <c r="I577" s="7" t="s">
        <v>1373</v>
      </c>
      <c r="J577" s="7">
        <v>29156.16</v>
      </c>
      <c r="K577" s="7" t="s">
        <v>1374</v>
      </c>
      <c r="L577" s="7">
        <v>20873.16</v>
      </c>
      <c r="M577" s="1">
        <v>41518</v>
      </c>
      <c r="N577" s="4">
        <v>9</v>
      </c>
      <c r="O577" s="2" t="s">
        <v>63</v>
      </c>
      <c r="P577" s="4">
        <v>2013</v>
      </c>
      <c r="Q577" t="str">
        <f>IF(Table1[[#This Row],[UnitsSold]]&gt;3000,"Large",IF(Table1[[#This Row],[UnitsSold]]&gt;1500,"Midium","Small"))</f>
        <v>Midium</v>
      </c>
    </row>
    <row r="578" spans="1:17" x14ac:dyDescent="0.3">
      <c r="A578" s="2" t="s">
        <v>7</v>
      </c>
      <c r="B578" s="2" t="s">
        <v>67</v>
      </c>
      <c r="C578" s="2" t="s">
        <v>23</v>
      </c>
      <c r="D578" s="2" t="s">
        <v>1078</v>
      </c>
      <c r="E578" s="4">
        <v>2567</v>
      </c>
      <c r="F578" s="7" t="s">
        <v>25</v>
      </c>
      <c r="G578" s="7">
        <v>15</v>
      </c>
      <c r="H578" s="7" t="s">
        <v>420</v>
      </c>
      <c r="I578" s="7" t="s">
        <v>1375</v>
      </c>
      <c r="J578" s="7">
        <v>33499.35</v>
      </c>
      <c r="K578" s="7" t="s">
        <v>1376</v>
      </c>
      <c r="L578" s="7">
        <v>7829.35</v>
      </c>
      <c r="M578" s="1">
        <v>41791</v>
      </c>
      <c r="N578" s="4">
        <v>6</v>
      </c>
      <c r="O578" s="2" t="s">
        <v>34</v>
      </c>
      <c r="P578" s="4">
        <v>2014</v>
      </c>
      <c r="Q578" t="str">
        <f>IF(Table1[[#This Row],[UnitsSold]]&gt;3000,"Large",IF(Table1[[#This Row],[UnitsSold]]&gt;1500,"Midium","Small"))</f>
        <v>Midium</v>
      </c>
    </row>
    <row r="579" spans="1:17" x14ac:dyDescent="0.3">
      <c r="A579" s="2" t="s">
        <v>7</v>
      </c>
      <c r="B579" s="2" t="s">
        <v>67</v>
      </c>
      <c r="C579" s="2" t="s">
        <v>111</v>
      </c>
      <c r="D579" s="2" t="s">
        <v>1078</v>
      </c>
      <c r="E579" s="4">
        <v>2567</v>
      </c>
      <c r="F579" s="7" t="s">
        <v>112</v>
      </c>
      <c r="G579" s="7">
        <v>15</v>
      </c>
      <c r="H579" s="7" t="s">
        <v>420</v>
      </c>
      <c r="I579" s="7" t="s">
        <v>1375</v>
      </c>
      <c r="J579" s="7">
        <v>33499.35</v>
      </c>
      <c r="K579" s="7" t="s">
        <v>1376</v>
      </c>
      <c r="L579" s="7">
        <v>7829.35</v>
      </c>
      <c r="M579" s="1">
        <v>41791</v>
      </c>
      <c r="N579" s="4">
        <v>6</v>
      </c>
      <c r="O579" s="2" t="s">
        <v>34</v>
      </c>
      <c r="P579" s="4">
        <v>2014</v>
      </c>
      <c r="Q579" t="str">
        <f>IF(Table1[[#This Row],[UnitsSold]]&gt;3000,"Large",IF(Table1[[#This Row],[UnitsSold]]&gt;1500,"Midium","Small"))</f>
        <v>Midium</v>
      </c>
    </row>
    <row r="580" spans="1:17" x14ac:dyDescent="0.3">
      <c r="A580" s="2" t="s">
        <v>4</v>
      </c>
      <c r="B580" s="2" t="s">
        <v>5</v>
      </c>
      <c r="C580" s="2" t="s">
        <v>23</v>
      </c>
      <c r="D580" s="2" t="s">
        <v>1078</v>
      </c>
      <c r="E580" s="4">
        <v>923</v>
      </c>
      <c r="F580" s="7" t="s">
        <v>25</v>
      </c>
      <c r="G580" s="7">
        <v>350</v>
      </c>
      <c r="H580" s="7" t="s">
        <v>1377</v>
      </c>
      <c r="I580" s="7" t="s">
        <v>1378</v>
      </c>
      <c r="J580" s="7" t="s">
        <v>1820</v>
      </c>
      <c r="K580" s="7" t="s">
        <v>1379</v>
      </c>
      <c r="L580" s="7">
        <v>41073.5</v>
      </c>
      <c r="M580" s="1">
        <v>41699</v>
      </c>
      <c r="N580" s="4">
        <v>3</v>
      </c>
      <c r="O580" s="2" t="s">
        <v>46</v>
      </c>
      <c r="P580" s="4">
        <v>2014</v>
      </c>
      <c r="Q580" t="str">
        <f>IF(Table1[[#This Row],[UnitsSold]]&gt;3000,"Large",IF(Table1[[#This Row],[UnitsSold]]&gt;1500,"Midium","Small"))</f>
        <v>Small</v>
      </c>
    </row>
    <row r="581" spans="1:17" x14ac:dyDescent="0.3">
      <c r="A581" s="2" t="s">
        <v>4</v>
      </c>
      <c r="B581" s="2" t="s">
        <v>8</v>
      </c>
      <c r="C581" s="2" t="s">
        <v>23</v>
      </c>
      <c r="D581" s="2" t="s">
        <v>1078</v>
      </c>
      <c r="E581" s="4">
        <v>1790</v>
      </c>
      <c r="F581" s="7" t="s">
        <v>25</v>
      </c>
      <c r="G581" s="7">
        <v>350</v>
      </c>
      <c r="H581" s="7" t="s">
        <v>1380</v>
      </c>
      <c r="I581" s="7" t="s">
        <v>1381</v>
      </c>
      <c r="J581" s="7" t="s">
        <v>1821</v>
      </c>
      <c r="K581" s="7" t="s">
        <v>1382</v>
      </c>
      <c r="L581" s="7">
        <v>79655</v>
      </c>
      <c r="M581" s="1">
        <v>41699</v>
      </c>
      <c r="N581" s="4">
        <v>3</v>
      </c>
      <c r="O581" s="2" t="s">
        <v>46</v>
      </c>
      <c r="P581" s="4">
        <v>2014</v>
      </c>
      <c r="Q581" t="str">
        <f>IF(Table1[[#This Row],[UnitsSold]]&gt;3000,"Large",IF(Table1[[#This Row],[UnitsSold]]&gt;1500,"Midium","Small"))</f>
        <v>Midium</v>
      </c>
    </row>
    <row r="582" spans="1:17" x14ac:dyDescent="0.3">
      <c r="A582" s="2" t="s">
        <v>4</v>
      </c>
      <c r="B582" s="2" t="s">
        <v>6</v>
      </c>
      <c r="C582" s="2" t="s">
        <v>23</v>
      </c>
      <c r="D582" s="2" t="s">
        <v>1078</v>
      </c>
      <c r="E582" s="4">
        <v>442</v>
      </c>
      <c r="F582" s="7" t="s">
        <v>25</v>
      </c>
      <c r="G582" s="7">
        <v>20</v>
      </c>
      <c r="H582" s="7" t="s">
        <v>1383</v>
      </c>
      <c r="I582" s="7" t="s">
        <v>1384</v>
      </c>
      <c r="J582" s="7">
        <v>7690.8</v>
      </c>
      <c r="K582" s="7" t="s">
        <v>1385</v>
      </c>
      <c r="L582" s="7">
        <v>3270.8</v>
      </c>
      <c r="M582" s="1">
        <v>41518</v>
      </c>
      <c r="N582" s="4">
        <v>9</v>
      </c>
      <c r="O582" s="2" t="s">
        <v>63</v>
      </c>
      <c r="P582" s="4">
        <v>2013</v>
      </c>
      <c r="Q582" t="str">
        <f>IF(Table1[[#This Row],[UnitsSold]]&gt;3000,"Large",IF(Table1[[#This Row],[UnitsSold]]&gt;1500,"Midium","Small"))</f>
        <v>Small</v>
      </c>
    </row>
    <row r="583" spans="1:17" x14ac:dyDescent="0.3">
      <c r="A583" s="2" t="s">
        <v>4</v>
      </c>
      <c r="B583" s="2" t="s">
        <v>67</v>
      </c>
      <c r="C583" s="2" t="s">
        <v>42</v>
      </c>
      <c r="D583" s="2" t="s">
        <v>1078</v>
      </c>
      <c r="E583" s="4">
        <v>982.5</v>
      </c>
      <c r="F583" s="7" t="s">
        <v>43</v>
      </c>
      <c r="G583" s="7">
        <v>350</v>
      </c>
      <c r="H583" s="7" t="s">
        <v>1386</v>
      </c>
      <c r="I583" s="7" t="s">
        <v>1387</v>
      </c>
      <c r="J583" s="7" t="s">
        <v>1822</v>
      </c>
      <c r="K583" s="7" t="s">
        <v>1388</v>
      </c>
      <c r="L583" s="7">
        <v>43721.25</v>
      </c>
      <c r="M583" s="1">
        <v>41640</v>
      </c>
      <c r="N583" s="4">
        <v>1</v>
      </c>
      <c r="O583" s="2" t="s">
        <v>29</v>
      </c>
      <c r="P583" s="4">
        <v>2014</v>
      </c>
      <c r="Q583" t="str">
        <f>IF(Table1[[#This Row],[UnitsSold]]&gt;3000,"Large",IF(Table1[[#This Row],[UnitsSold]]&gt;1500,"Midium","Small"))</f>
        <v>Small</v>
      </c>
    </row>
    <row r="584" spans="1:17" x14ac:dyDescent="0.3">
      <c r="A584" s="2" t="s">
        <v>4</v>
      </c>
      <c r="B584" s="2" t="s">
        <v>67</v>
      </c>
      <c r="C584" s="2" t="s">
        <v>42</v>
      </c>
      <c r="D584" s="2" t="s">
        <v>1078</v>
      </c>
      <c r="E584" s="4">
        <v>1298</v>
      </c>
      <c r="F584" s="7" t="s">
        <v>43</v>
      </c>
      <c r="G584" s="7">
        <v>7</v>
      </c>
      <c r="H584" s="7" t="s">
        <v>1389</v>
      </c>
      <c r="I584" s="7" t="s">
        <v>1390</v>
      </c>
      <c r="J584" s="7">
        <v>7904.82</v>
      </c>
      <c r="K584" s="7" t="s">
        <v>1391</v>
      </c>
      <c r="L584" s="7">
        <v>1414.82</v>
      </c>
      <c r="M584" s="1">
        <v>41671</v>
      </c>
      <c r="N584" s="4">
        <v>2</v>
      </c>
      <c r="O584" s="2" t="s">
        <v>74</v>
      </c>
      <c r="P584" s="4">
        <v>2014</v>
      </c>
      <c r="Q584" t="str">
        <f>IF(Table1[[#This Row],[UnitsSold]]&gt;3000,"Large",IF(Table1[[#This Row],[UnitsSold]]&gt;1500,"Midium","Small"))</f>
        <v>Small</v>
      </c>
    </row>
    <row r="585" spans="1:17" x14ac:dyDescent="0.3">
      <c r="A585" s="2" t="s">
        <v>47</v>
      </c>
      <c r="B585" s="2" t="s">
        <v>9</v>
      </c>
      <c r="C585" s="2" t="s">
        <v>42</v>
      </c>
      <c r="D585" s="2" t="s">
        <v>1078</v>
      </c>
      <c r="E585" s="4">
        <v>604</v>
      </c>
      <c r="F585" s="7" t="s">
        <v>43</v>
      </c>
      <c r="G585" s="7">
        <v>12</v>
      </c>
      <c r="H585" s="7" t="s">
        <v>1392</v>
      </c>
      <c r="I585" s="7" t="s">
        <v>1393</v>
      </c>
      <c r="J585" s="7">
        <v>6305.76</v>
      </c>
      <c r="K585" s="7" t="s">
        <v>1394</v>
      </c>
      <c r="L585" s="7">
        <v>4493.76</v>
      </c>
      <c r="M585" s="1">
        <v>41791</v>
      </c>
      <c r="N585" s="4">
        <v>6</v>
      </c>
      <c r="O585" s="2" t="s">
        <v>34</v>
      </c>
      <c r="P585" s="4">
        <v>2014</v>
      </c>
      <c r="Q585" t="str">
        <f>IF(Table1[[#This Row],[UnitsSold]]&gt;3000,"Large",IF(Table1[[#This Row],[UnitsSold]]&gt;1500,"Midium","Small"))</f>
        <v>Small</v>
      </c>
    </row>
    <row r="586" spans="1:17" x14ac:dyDescent="0.3">
      <c r="A586" s="2" t="s">
        <v>4</v>
      </c>
      <c r="B586" s="2" t="s">
        <v>9</v>
      </c>
      <c r="C586" s="2" t="s">
        <v>42</v>
      </c>
      <c r="D586" s="2" t="s">
        <v>1078</v>
      </c>
      <c r="E586" s="4">
        <v>2255</v>
      </c>
      <c r="F586" s="7" t="s">
        <v>43</v>
      </c>
      <c r="G586" s="7">
        <v>20</v>
      </c>
      <c r="H586" s="7" t="s">
        <v>1395</v>
      </c>
      <c r="I586" s="7" t="s">
        <v>1396</v>
      </c>
      <c r="J586" s="7">
        <v>39237</v>
      </c>
      <c r="K586" s="7" t="s">
        <v>1094</v>
      </c>
      <c r="L586" s="7">
        <v>16687</v>
      </c>
      <c r="M586" s="1">
        <v>41821</v>
      </c>
      <c r="N586" s="4">
        <v>7</v>
      </c>
      <c r="O586" s="2" t="s">
        <v>56</v>
      </c>
      <c r="P586" s="4">
        <v>2014</v>
      </c>
      <c r="Q586" t="str">
        <f>IF(Table1[[#This Row],[UnitsSold]]&gt;3000,"Large",IF(Table1[[#This Row],[UnitsSold]]&gt;1500,"Midium","Small"))</f>
        <v>Midium</v>
      </c>
    </row>
    <row r="587" spans="1:17" x14ac:dyDescent="0.3">
      <c r="A587" s="2" t="s">
        <v>4</v>
      </c>
      <c r="B587" s="2" t="s">
        <v>5</v>
      </c>
      <c r="C587" s="2" t="s">
        <v>42</v>
      </c>
      <c r="D587" s="2" t="s">
        <v>1078</v>
      </c>
      <c r="E587" s="4">
        <v>1249</v>
      </c>
      <c r="F587" s="7" t="s">
        <v>43</v>
      </c>
      <c r="G587" s="7">
        <v>20</v>
      </c>
      <c r="H587" s="7" t="s">
        <v>1397</v>
      </c>
      <c r="I587" s="7" t="s">
        <v>1398</v>
      </c>
      <c r="J587" s="7">
        <v>21732.6</v>
      </c>
      <c r="K587" s="7" t="s">
        <v>1399</v>
      </c>
      <c r="L587" s="7">
        <v>9242.6</v>
      </c>
      <c r="M587" s="1">
        <v>41913</v>
      </c>
      <c r="N587" s="4">
        <v>10</v>
      </c>
      <c r="O587" s="2" t="s">
        <v>66</v>
      </c>
      <c r="P587" s="4">
        <v>2014</v>
      </c>
      <c r="Q587" t="str">
        <f>IF(Table1[[#This Row],[UnitsSold]]&gt;3000,"Large",IF(Table1[[#This Row],[UnitsSold]]&gt;1500,"Midium","Small"))</f>
        <v>Small</v>
      </c>
    </row>
    <row r="588" spans="1:17" x14ac:dyDescent="0.3">
      <c r="A588" s="2" t="s">
        <v>4</v>
      </c>
      <c r="B588" s="2" t="s">
        <v>67</v>
      </c>
      <c r="C588" s="2" t="s">
        <v>70</v>
      </c>
      <c r="D588" s="2" t="s">
        <v>1078</v>
      </c>
      <c r="E588" s="4">
        <v>1438.5</v>
      </c>
      <c r="F588" s="7" t="s">
        <v>71</v>
      </c>
      <c r="G588" s="7">
        <v>7</v>
      </c>
      <c r="H588" s="7" t="s">
        <v>1400</v>
      </c>
      <c r="I588" s="7" t="s">
        <v>1401</v>
      </c>
      <c r="J588" s="7">
        <v>8760.4699999999993</v>
      </c>
      <c r="K588" s="7" t="s">
        <v>1402</v>
      </c>
      <c r="L588" s="7">
        <v>1567.97</v>
      </c>
      <c r="M588" s="1">
        <v>41640</v>
      </c>
      <c r="N588" s="4">
        <v>1</v>
      </c>
      <c r="O588" s="2" t="s">
        <v>29</v>
      </c>
      <c r="P588" s="4">
        <v>2014</v>
      </c>
      <c r="Q588" t="str">
        <f>IF(Table1[[#This Row],[UnitsSold]]&gt;3000,"Large",IF(Table1[[#This Row],[UnitsSold]]&gt;1500,"Midium","Small"))</f>
        <v>Small</v>
      </c>
    </row>
    <row r="589" spans="1:17" x14ac:dyDescent="0.3">
      <c r="A589" s="2" t="s">
        <v>57</v>
      </c>
      <c r="B589" s="2" t="s">
        <v>6</v>
      </c>
      <c r="C589" s="2" t="s">
        <v>70</v>
      </c>
      <c r="D589" s="2" t="s">
        <v>1078</v>
      </c>
      <c r="E589" s="4">
        <v>807</v>
      </c>
      <c r="F589" s="7" t="s">
        <v>71</v>
      </c>
      <c r="G589" s="7">
        <v>300</v>
      </c>
      <c r="H589" s="7" t="s">
        <v>1403</v>
      </c>
      <c r="I589" s="7" t="s">
        <v>1404</v>
      </c>
      <c r="J589" s="7" t="s">
        <v>1823</v>
      </c>
      <c r="K589" s="7" t="s">
        <v>1405</v>
      </c>
      <c r="L589" s="7">
        <v>8877</v>
      </c>
      <c r="M589" s="1">
        <v>41640</v>
      </c>
      <c r="N589" s="4">
        <v>1</v>
      </c>
      <c r="O589" s="2" t="s">
        <v>29</v>
      </c>
      <c r="P589" s="4">
        <v>2014</v>
      </c>
      <c r="Q589" t="str">
        <f>IF(Table1[[#This Row],[UnitsSold]]&gt;3000,"Large",IF(Table1[[#This Row],[UnitsSold]]&gt;1500,"Midium","Small"))</f>
        <v>Small</v>
      </c>
    </row>
    <row r="590" spans="1:17" x14ac:dyDescent="0.3">
      <c r="A590" s="2" t="s">
        <v>4</v>
      </c>
      <c r="B590" s="2" t="s">
        <v>67</v>
      </c>
      <c r="C590" s="2" t="s">
        <v>70</v>
      </c>
      <c r="D590" s="2" t="s">
        <v>1078</v>
      </c>
      <c r="E590" s="4">
        <v>2641</v>
      </c>
      <c r="F590" s="7" t="s">
        <v>71</v>
      </c>
      <c r="G590" s="7">
        <v>20</v>
      </c>
      <c r="H590" s="7" t="s">
        <v>1406</v>
      </c>
      <c r="I590" s="7" t="s">
        <v>1407</v>
      </c>
      <c r="J590" s="7">
        <v>45953.4</v>
      </c>
      <c r="K590" s="7" t="s">
        <v>1408</v>
      </c>
      <c r="L590" s="7">
        <v>19543.400000000001</v>
      </c>
      <c r="M590" s="1">
        <v>41671</v>
      </c>
      <c r="N590" s="4">
        <v>2</v>
      </c>
      <c r="O590" s="2" t="s">
        <v>74</v>
      </c>
      <c r="P590" s="4">
        <v>2014</v>
      </c>
      <c r="Q590" t="str">
        <f>IF(Table1[[#This Row],[UnitsSold]]&gt;3000,"Large",IF(Table1[[#This Row],[UnitsSold]]&gt;1500,"Midium","Small"))</f>
        <v>Midium</v>
      </c>
    </row>
    <row r="591" spans="1:17" x14ac:dyDescent="0.3">
      <c r="A591" s="2" t="s">
        <v>4</v>
      </c>
      <c r="B591" s="2" t="s">
        <v>6</v>
      </c>
      <c r="C591" s="2" t="s">
        <v>70</v>
      </c>
      <c r="D591" s="2" t="s">
        <v>1078</v>
      </c>
      <c r="E591" s="4">
        <v>2708</v>
      </c>
      <c r="F591" s="7" t="s">
        <v>71</v>
      </c>
      <c r="G591" s="7">
        <v>20</v>
      </c>
      <c r="H591" s="7" t="s">
        <v>1409</v>
      </c>
      <c r="I591" s="7" t="s">
        <v>1410</v>
      </c>
      <c r="J591" s="7">
        <v>47119.199999999997</v>
      </c>
      <c r="K591" s="7" t="s">
        <v>1411</v>
      </c>
      <c r="L591" s="7">
        <v>20039.2</v>
      </c>
      <c r="M591" s="1">
        <v>41671</v>
      </c>
      <c r="N591" s="4">
        <v>2</v>
      </c>
      <c r="O591" s="2" t="s">
        <v>74</v>
      </c>
      <c r="P591" s="4">
        <v>2014</v>
      </c>
      <c r="Q591" t="str">
        <f>IF(Table1[[#This Row],[UnitsSold]]&gt;3000,"Large",IF(Table1[[#This Row],[UnitsSold]]&gt;1500,"Midium","Small"))</f>
        <v>Midium</v>
      </c>
    </row>
    <row r="592" spans="1:17" x14ac:dyDescent="0.3">
      <c r="A592" s="2" t="s">
        <v>4</v>
      </c>
      <c r="B592" s="2" t="s">
        <v>5</v>
      </c>
      <c r="C592" s="2" t="s">
        <v>70</v>
      </c>
      <c r="D592" s="2" t="s">
        <v>1078</v>
      </c>
      <c r="E592" s="4">
        <v>2632</v>
      </c>
      <c r="F592" s="7" t="s">
        <v>71</v>
      </c>
      <c r="G592" s="7">
        <v>350</v>
      </c>
      <c r="H592" s="7" t="s">
        <v>1412</v>
      </c>
      <c r="I592" s="7" t="s">
        <v>1413</v>
      </c>
      <c r="J592" s="7" t="s">
        <v>1824</v>
      </c>
      <c r="K592" s="7" t="s">
        <v>1414</v>
      </c>
      <c r="L592" s="7" t="s">
        <v>1897</v>
      </c>
      <c r="M592" s="1">
        <v>41791</v>
      </c>
      <c r="N592" s="4">
        <v>6</v>
      </c>
      <c r="O592" s="2" t="s">
        <v>34</v>
      </c>
      <c r="P592" s="4">
        <v>2014</v>
      </c>
      <c r="Q592" t="str">
        <f>IF(Table1[[#This Row],[UnitsSold]]&gt;3000,"Large",IF(Table1[[#This Row],[UnitsSold]]&gt;1500,"Midium","Small"))</f>
        <v>Midium</v>
      </c>
    </row>
    <row r="593" spans="1:17" x14ac:dyDescent="0.3">
      <c r="A593" s="2" t="s">
        <v>10</v>
      </c>
      <c r="B593" s="2" t="s">
        <v>5</v>
      </c>
      <c r="C593" s="2" t="s">
        <v>70</v>
      </c>
      <c r="D593" s="2" t="s">
        <v>1078</v>
      </c>
      <c r="E593" s="4">
        <v>1583</v>
      </c>
      <c r="F593" s="7" t="s">
        <v>71</v>
      </c>
      <c r="G593" s="7">
        <v>125</v>
      </c>
      <c r="H593" s="7" t="s">
        <v>1415</v>
      </c>
      <c r="I593" s="7" t="s">
        <v>1416</v>
      </c>
      <c r="J593" s="7" t="s">
        <v>1825</v>
      </c>
      <c r="K593" s="7" t="s">
        <v>1417</v>
      </c>
      <c r="L593" s="7">
        <v>17808.75</v>
      </c>
      <c r="M593" s="1">
        <v>41791</v>
      </c>
      <c r="N593" s="4">
        <v>6</v>
      </c>
      <c r="O593" s="2" t="s">
        <v>34</v>
      </c>
      <c r="P593" s="4">
        <v>2014</v>
      </c>
      <c r="Q593" t="str">
        <f>IF(Table1[[#This Row],[UnitsSold]]&gt;3000,"Large",IF(Table1[[#This Row],[UnitsSold]]&gt;1500,"Midium","Small"))</f>
        <v>Midium</v>
      </c>
    </row>
    <row r="594" spans="1:17" x14ac:dyDescent="0.3">
      <c r="A594" s="2" t="s">
        <v>47</v>
      </c>
      <c r="B594" s="2" t="s">
        <v>9</v>
      </c>
      <c r="C594" s="2" t="s">
        <v>70</v>
      </c>
      <c r="D594" s="2" t="s">
        <v>1078</v>
      </c>
      <c r="E594" s="4">
        <v>571</v>
      </c>
      <c r="F594" s="7" t="s">
        <v>71</v>
      </c>
      <c r="G594" s="7">
        <v>12</v>
      </c>
      <c r="H594" s="7" t="s">
        <v>1418</v>
      </c>
      <c r="I594" s="7" t="s">
        <v>1419</v>
      </c>
      <c r="J594" s="7">
        <v>5961.24</v>
      </c>
      <c r="K594" s="7" t="s">
        <v>1420</v>
      </c>
      <c r="L594" s="7">
        <v>4248.24</v>
      </c>
      <c r="M594" s="1">
        <v>41821</v>
      </c>
      <c r="N594" s="4">
        <v>7</v>
      </c>
      <c r="O594" s="2" t="s">
        <v>56</v>
      </c>
      <c r="P594" s="4">
        <v>2014</v>
      </c>
      <c r="Q594" t="str">
        <f>IF(Table1[[#This Row],[UnitsSold]]&gt;3000,"Large",IF(Table1[[#This Row],[UnitsSold]]&gt;1500,"Midium","Small"))</f>
        <v>Small</v>
      </c>
    </row>
    <row r="595" spans="1:17" x14ac:dyDescent="0.3">
      <c r="A595" s="2" t="s">
        <v>4</v>
      </c>
      <c r="B595" s="2" t="s">
        <v>8</v>
      </c>
      <c r="C595" s="2" t="s">
        <v>70</v>
      </c>
      <c r="D595" s="2" t="s">
        <v>1078</v>
      </c>
      <c r="E595" s="4">
        <v>2696</v>
      </c>
      <c r="F595" s="7" t="s">
        <v>71</v>
      </c>
      <c r="G595" s="7">
        <v>7</v>
      </c>
      <c r="H595" s="7" t="s">
        <v>1421</v>
      </c>
      <c r="I595" s="7" t="s">
        <v>1422</v>
      </c>
      <c r="J595" s="7">
        <v>16418.64</v>
      </c>
      <c r="K595" s="7" t="s">
        <v>1423</v>
      </c>
      <c r="L595" s="7">
        <v>2938.64</v>
      </c>
      <c r="M595" s="1">
        <v>41852</v>
      </c>
      <c r="N595" s="4">
        <v>8</v>
      </c>
      <c r="O595" s="2" t="s">
        <v>60</v>
      </c>
      <c r="P595" s="4">
        <v>2014</v>
      </c>
      <c r="Q595" t="str">
        <f>IF(Table1[[#This Row],[UnitsSold]]&gt;3000,"Large",IF(Table1[[#This Row],[UnitsSold]]&gt;1500,"Midium","Small"))</f>
        <v>Midium</v>
      </c>
    </row>
    <row r="596" spans="1:17" x14ac:dyDescent="0.3">
      <c r="A596" s="2" t="s">
        <v>7</v>
      </c>
      <c r="B596" s="2" t="s">
        <v>5</v>
      </c>
      <c r="C596" s="2" t="s">
        <v>70</v>
      </c>
      <c r="D596" s="2" t="s">
        <v>1078</v>
      </c>
      <c r="E596" s="4">
        <v>1565</v>
      </c>
      <c r="F596" s="7" t="s">
        <v>71</v>
      </c>
      <c r="G596" s="7">
        <v>15</v>
      </c>
      <c r="H596" s="7" t="s">
        <v>1424</v>
      </c>
      <c r="I596" s="7" t="s">
        <v>1425</v>
      </c>
      <c r="J596" s="7">
        <v>20423.25</v>
      </c>
      <c r="K596" s="7" t="s">
        <v>1426</v>
      </c>
      <c r="L596" s="7">
        <v>4773.25</v>
      </c>
      <c r="M596" s="1">
        <v>41913</v>
      </c>
      <c r="N596" s="4">
        <v>10</v>
      </c>
      <c r="O596" s="2" t="s">
        <v>66</v>
      </c>
      <c r="P596" s="4">
        <v>2014</v>
      </c>
      <c r="Q596" t="str">
        <f>IF(Table1[[#This Row],[UnitsSold]]&gt;3000,"Large",IF(Table1[[#This Row],[UnitsSold]]&gt;1500,"Midium","Small"))</f>
        <v>Midium</v>
      </c>
    </row>
    <row r="597" spans="1:17" x14ac:dyDescent="0.3">
      <c r="A597" s="2" t="s">
        <v>4</v>
      </c>
      <c r="B597" s="2" t="s">
        <v>5</v>
      </c>
      <c r="C597" s="2" t="s">
        <v>70</v>
      </c>
      <c r="D597" s="2" t="s">
        <v>1078</v>
      </c>
      <c r="E597" s="4">
        <v>1249</v>
      </c>
      <c r="F597" s="7" t="s">
        <v>71</v>
      </c>
      <c r="G597" s="7">
        <v>20</v>
      </c>
      <c r="H597" s="7" t="s">
        <v>1397</v>
      </c>
      <c r="I597" s="7" t="s">
        <v>1398</v>
      </c>
      <c r="J597" s="7">
        <v>21732.6</v>
      </c>
      <c r="K597" s="7" t="s">
        <v>1399</v>
      </c>
      <c r="L597" s="7">
        <v>9242.6</v>
      </c>
      <c r="M597" s="1">
        <v>41913</v>
      </c>
      <c r="N597" s="4">
        <v>10</v>
      </c>
      <c r="O597" s="2" t="s">
        <v>66</v>
      </c>
      <c r="P597" s="4">
        <v>2014</v>
      </c>
      <c r="Q597" t="str">
        <f>IF(Table1[[#This Row],[UnitsSold]]&gt;3000,"Large",IF(Table1[[#This Row],[UnitsSold]]&gt;1500,"Midium","Small"))</f>
        <v>Small</v>
      </c>
    </row>
    <row r="598" spans="1:17" x14ac:dyDescent="0.3">
      <c r="A598" s="2" t="s">
        <v>4</v>
      </c>
      <c r="B598" s="2" t="s">
        <v>6</v>
      </c>
      <c r="C598" s="2" t="s">
        <v>70</v>
      </c>
      <c r="D598" s="2" t="s">
        <v>1078</v>
      </c>
      <c r="E598" s="4">
        <v>357</v>
      </c>
      <c r="F598" s="7" t="s">
        <v>71</v>
      </c>
      <c r="G598" s="7">
        <v>350</v>
      </c>
      <c r="H598" s="7" t="s">
        <v>1427</v>
      </c>
      <c r="I598" s="7" t="s">
        <v>1428</v>
      </c>
      <c r="J598" s="7" t="s">
        <v>1826</v>
      </c>
      <c r="K598" s="7" t="s">
        <v>1429</v>
      </c>
      <c r="L598" s="7">
        <v>15886.5</v>
      </c>
      <c r="M598" s="1">
        <v>41944</v>
      </c>
      <c r="N598" s="4">
        <v>11</v>
      </c>
      <c r="O598" s="2" t="s">
        <v>94</v>
      </c>
      <c r="P598" s="4">
        <v>2014</v>
      </c>
      <c r="Q598" t="str">
        <f>IF(Table1[[#This Row],[UnitsSold]]&gt;3000,"Large",IF(Table1[[#This Row],[UnitsSold]]&gt;1500,"Midium","Small"))</f>
        <v>Small</v>
      </c>
    </row>
    <row r="599" spans="1:17" x14ac:dyDescent="0.3">
      <c r="A599" s="2" t="s">
        <v>47</v>
      </c>
      <c r="B599" s="2" t="s">
        <v>6</v>
      </c>
      <c r="C599" s="2" t="s">
        <v>70</v>
      </c>
      <c r="D599" s="2" t="s">
        <v>1078</v>
      </c>
      <c r="E599" s="4">
        <v>1013</v>
      </c>
      <c r="F599" s="7" t="s">
        <v>71</v>
      </c>
      <c r="G599" s="7">
        <v>12</v>
      </c>
      <c r="H599" s="7" t="s">
        <v>1430</v>
      </c>
      <c r="I599" s="7" t="s">
        <v>1431</v>
      </c>
      <c r="J599" s="7">
        <v>10575.72</v>
      </c>
      <c r="K599" s="7" t="s">
        <v>1432</v>
      </c>
      <c r="L599" s="7">
        <v>7536.72</v>
      </c>
      <c r="M599" s="1">
        <v>41974</v>
      </c>
      <c r="N599" s="4">
        <v>12</v>
      </c>
      <c r="O599" s="2" t="s">
        <v>41</v>
      </c>
      <c r="P599" s="4">
        <v>2014</v>
      </c>
      <c r="Q599" t="str">
        <f>IF(Table1[[#This Row],[UnitsSold]]&gt;3000,"Large",IF(Table1[[#This Row],[UnitsSold]]&gt;1500,"Midium","Small"))</f>
        <v>Small</v>
      </c>
    </row>
    <row r="600" spans="1:17" x14ac:dyDescent="0.3">
      <c r="A600" s="2" t="s">
        <v>7</v>
      </c>
      <c r="B600" s="2" t="s">
        <v>8</v>
      </c>
      <c r="C600" s="2" t="s">
        <v>101</v>
      </c>
      <c r="D600" s="2" t="s">
        <v>1078</v>
      </c>
      <c r="E600" s="4">
        <v>3997.5</v>
      </c>
      <c r="F600" s="7" t="s">
        <v>102</v>
      </c>
      <c r="G600" s="7">
        <v>15</v>
      </c>
      <c r="H600" s="7" t="s">
        <v>1433</v>
      </c>
      <c r="I600" s="7" t="s">
        <v>1434</v>
      </c>
      <c r="J600" s="7">
        <v>52167.38</v>
      </c>
      <c r="K600" s="7" t="s">
        <v>1435</v>
      </c>
      <c r="L600" s="7">
        <v>12192.38</v>
      </c>
      <c r="M600" s="1">
        <v>41640</v>
      </c>
      <c r="N600" s="4">
        <v>1</v>
      </c>
      <c r="O600" s="2" t="s">
        <v>29</v>
      </c>
      <c r="P600" s="4">
        <v>2014</v>
      </c>
      <c r="Q600" t="str">
        <f>IF(Table1[[#This Row],[UnitsSold]]&gt;3000,"Large",IF(Table1[[#This Row],[UnitsSold]]&gt;1500,"Midium","Small"))</f>
        <v>Large</v>
      </c>
    </row>
    <row r="601" spans="1:17" x14ac:dyDescent="0.3">
      <c r="A601" s="2" t="s">
        <v>4</v>
      </c>
      <c r="B601" s="2" t="s">
        <v>5</v>
      </c>
      <c r="C601" s="2" t="s">
        <v>101</v>
      </c>
      <c r="D601" s="2" t="s">
        <v>1078</v>
      </c>
      <c r="E601" s="4">
        <v>2632</v>
      </c>
      <c r="F601" s="7" t="s">
        <v>102</v>
      </c>
      <c r="G601" s="7">
        <v>350</v>
      </c>
      <c r="H601" s="7" t="s">
        <v>1412</v>
      </c>
      <c r="I601" s="7" t="s">
        <v>1413</v>
      </c>
      <c r="J601" s="7" t="s">
        <v>1824</v>
      </c>
      <c r="K601" s="7" t="s">
        <v>1414</v>
      </c>
      <c r="L601" s="7" t="s">
        <v>1897</v>
      </c>
      <c r="M601" s="1">
        <v>41791</v>
      </c>
      <c r="N601" s="4">
        <v>6</v>
      </c>
      <c r="O601" s="2" t="s">
        <v>34</v>
      </c>
      <c r="P601" s="4">
        <v>2014</v>
      </c>
      <c r="Q601" t="str">
        <f>IF(Table1[[#This Row],[UnitsSold]]&gt;3000,"Large",IF(Table1[[#This Row],[UnitsSold]]&gt;1500,"Midium","Small"))</f>
        <v>Midium</v>
      </c>
    </row>
    <row r="602" spans="1:17" x14ac:dyDescent="0.3">
      <c r="A602" s="2" t="s">
        <v>4</v>
      </c>
      <c r="B602" s="2" t="s">
        <v>8</v>
      </c>
      <c r="C602" s="2" t="s">
        <v>101</v>
      </c>
      <c r="D602" s="2" t="s">
        <v>1078</v>
      </c>
      <c r="E602" s="4">
        <v>1190</v>
      </c>
      <c r="F602" s="7" t="s">
        <v>102</v>
      </c>
      <c r="G602" s="7">
        <v>7</v>
      </c>
      <c r="H602" s="7" t="s">
        <v>1436</v>
      </c>
      <c r="I602" s="7" t="s">
        <v>1437</v>
      </c>
      <c r="J602" s="7">
        <v>7247.1</v>
      </c>
      <c r="K602" s="7" t="s">
        <v>1438</v>
      </c>
      <c r="L602" s="7">
        <v>1297.0999999999999</v>
      </c>
      <c r="M602" s="1">
        <v>41791</v>
      </c>
      <c r="N602" s="4">
        <v>6</v>
      </c>
      <c r="O602" s="2" t="s">
        <v>34</v>
      </c>
      <c r="P602" s="4">
        <v>2014</v>
      </c>
      <c r="Q602" t="str">
        <f>IF(Table1[[#This Row],[UnitsSold]]&gt;3000,"Large",IF(Table1[[#This Row],[UnitsSold]]&gt;1500,"Midium","Small"))</f>
        <v>Small</v>
      </c>
    </row>
    <row r="603" spans="1:17" x14ac:dyDescent="0.3">
      <c r="A603" s="2" t="s">
        <v>47</v>
      </c>
      <c r="B603" s="2" t="s">
        <v>9</v>
      </c>
      <c r="C603" s="2" t="s">
        <v>101</v>
      </c>
      <c r="D603" s="2" t="s">
        <v>1078</v>
      </c>
      <c r="E603" s="4">
        <v>604</v>
      </c>
      <c r="F603" s="7" t="s">
        <v>102</v>
      </c>
      <c r="G603" s="7">
        <v>12</v>
      </c>
      <c r="H603" s="7" t="s">
        <v>1392</v>
      </c>
      <c r="I603" s="7" t="s">
        <v>1393</v>
      </c>
      <c r="J603" s="7">
        <v>6305.76</v>
      </c>
      <c r="K603" s="7" t="s">
        <v>1394</v>
      </c>
      <c r="L603" s="7">
        <v>4493.76</v>
      </c>
      <c r="M603" s="1">
        <v>41791</v>
      </c>
      <c r="N603" s="4">
        <v>6</v>
      </c>
      <c r="O603" s="2" t="s">
        <v>34</v>
      </c>
      <c r="P603" s="4">
        <v>2014</v>
      </c>
      <c r="Q603" t="str">
        <f>IF(Table1[[#This Row],[UnitsSold]]&gt;3000,"Large",IF(Table1[[#This Row],[UnitsSold]]&gt;1500,"Midium","Small"))</f>
        <v>Small</v>
      </c>
    </row>
    <row r="604" spans="1:17" x14ac:dyDescent="0.3">
      <c r="A604" s="2" t="s">
        <v>7</v>
      </c>
      <c r="B604" s="2" t="s">
        <v>6</v>
      </c>
      <c r="C604" s="2" t="s">
        <v>101</v>
      </c>
      <c r="D604" s="2" t="s">
        <v>1078</v>
      </c>
      <c r="E604" s="4">
        <v>660</v>
      </c>
      <c r="F604" s="7" t="s">
        <v>102</v>
      </c>
      <c r="G604" s="7">
        <v>15</v>
      </c>
      <c r="H604" s="7" t="s">
        <v>1439</v>
      </c>
      <c r="I604" s="7" t="s">
        <v>375</v>
      </c>
      <c r="J604" s="7">
        <v>8613</v>
      </c>
      <c r="K604" s="7" t="s">
        <v>1440</v>
      </c>
      <c r="L604" s="7">
        <v>2013</v>
      </c>
      <c r="M604" s="1">
        <v>41518</v>
      </c>
      <c r="N604" s="4">
        <v>9</v>
      </c>
      <c r="O604" s="2" t="s">
        <v>63</v>
      </c>
      <c r="P604" s="4">
        <v>2013</v>
      </c>
      <c r="Q604" t="str">
        <f>IF(Table1[[#This Row],[UnitsSold]]&gt;3000,"Large",IF(Table1[[#This Row],[UnitsSold]]&gt;1500,"Midium","Small"))</f>
        <v>Small</v>
      </c>
    </row>
    <row r="605" spans="1:17" x14ac:dyDescent="0.3">
      <c r="A605" s="2" t="s">
        <v>47</v>
      </c>
      <c r="B605" s="2" t="s">
        <v>9</v>
      </c>
      <c r="C605" s="2" t="s">
        <v>101</v>
      </c>
      <c r="D605" s="2" t="s">
        <v>1078</v>
      </c>
      <c r="E605" s="4">
        <v>410</v>
      </c>
      <c r="F605" s="7" t="s">
        <v>102</v>
      </c>
      <c r="G605" s="7">
        <v>12</v>
      </c>
      <c r="H605" s="7" t="s">
        <v>1441</v>
      </c>
      <c r="I605" s="7" t="s">
        <v>1442</v>
      </c>
      <c r="J605" s="7">
        <v>4280.3999999999996</v>
      </c>
      <c r="K605" s="7" t="s">
        <v>1443</v>
      </c>
      <c r="L605" s="7">
        <v>3050.4</v>
      </c>
      <c r="M605" s="1">
        <v>41913</v>
      </c>
      <c r="N605" s="4">
        <v>10</v>
      </c>
      <c r="O605" s="2" t="s">
        <v>66</v>
      </c>
      <c r="P605" s="4">
        <v>2014</v>
      </c>
      <c r="Q605" t="str">
        <f>IF(Table1[[#This Row],[UnitsSold]]&gt;3000,"Large",IF(Table1[[#This Row],[UnitsSold]]&gt;1500,"Midium","Small"))</f>
        <v>Small</v>
      </c>
    </row>
    <row r="606" spans="1:17" x14ac:dyDescent="0.3">
      <c r="A606" s="2" t="s">
        <v>57</v>
      </c>
      <c r="B606" s="2" t="s">
        <v>9</v>
      </c>
      <c r="C606" s="2" t="s">
        <v>101</v>
      </c>
      <c r="D606" s="2" t="s">
        <v>1078</v>
      </c>
      <c r="E606" s="4">
        <v>2605</v>
      </c>
      <c r="F606" s="7" t="s">
        <v>102</v>
      </c>
      <c r="G606" s="7">
        <v>300</v>
      </c>
      <c r="H606" s="7" t="s">
        <v>1444</v>
      </c>
      <c r="I606" s="7" t="s">
        <v>1445</v>
      </c>
      <c r="J606" s="7" t="s">
        <v>1827</v>
      </c>
      <c r="K606" s="7" t="s">
        <v>1446</v>
      </c>
      <c r="L606" s="7">
        <v>28655</v>
      </c>
      <c r="M606" s="1">
        <v>41579</v>
      </c>
      <c r="N606" s="4">
        <v>11</v>
      </c>
      <c r="O606" s="2" t="s">
        <v>94</v>
      </c>
      <c r="P606" s="4">
        <v>2013</v>
      </c>
      <c r="Q606" t="str">
        <f>IF(Table1[[#This Row],[UnitsSold]]&gt;3000,"Large",IF(Table1[[#This Row],[UnitsSold]]&gt;1500,"Midium","Small"))</f>
        <v>Midium</v>
      </c>
    </row>
    <row r="607" spans="1:17" x14ac:dyDescent="0.3">
      <c r="A607" s="2" t="s">
        <v>47</v>
      </c>
      <c r="B607" s="2" t="s">
        <v>6</v>
      </c>
      <c r="C607" s="2" t="s">
        <v>101</v>
      </c>
      <c r="D607" s="2" t="s">
        <v>1078</v>
      </c>
      <c r="E607" s="4">
        <v>1013</v>
      </c>
      <c r="F607" s="7" t="s">
        <v>102</v>
      </c>
      <c r="G607" s="7">
        <v>12</v>
      </c>
      <c r="H607" s="7" t="s">
        <v>1430</v>
      </c>
      <c r="I607" s="7" t="s">
        <v>1431</v>
      </c>
      <c r="J607" s="7">
        <v>10575.72</v>
      </c>
      <c r="K607" s="7" t="s">
        <v>1432</v>
      </c>
      <c r="L607" s="7">
        <v>7536.72</v>
      </c>
      <c r="M607" s="1">
        <v>41974</v>
      </c>
      <c r="N607" s="4">
        <v>12</v>
      </c>
      <c r="O607" s="2" t="s">
        <v>41</v>
      </c>
      <c r="P607" s="4">
        <v>2014</v>
      </c>
      <c r="Q607" t="str">
        <f>IF(Table1[[#This Row],[UnitsSold]]&gt;3000,"Large",IF(Table1[[#This Row],[UnitsSold]]&gt;1500,"Midium","Small"))</f>
        <v>Small</v>
      </c>
    </row>
    <row r="608" spans="1:17" x14ac:dyDescent="0.3">
      <c r="A608" s="2" t="s">
        <v>10</v>
      </c>
      <c r="B608" s="2" t="s">
        <v>5</v>
      </c>
      <c r="C608" s="2" t="s">
        <v>111</v>
      </c>
      <c r="D608" s="2" t="s">
        <v>1078</v>
      </c>
      <c r="E608" s="4">
        <v>1583</v>
      </c>
      <c r="F608" s="7" t="s">
        <v>112</v>
      </c>
      <c r="G608" s="7">
        <v>125</v>
      </c>
      <c r="H608" s="7" t="s">
        <v>1415</v>
      </c>
      <c r="I608" s="7" t="s">
        <v>1416</v>
      </c>
      <c r="J608" s="7" t="s">
        <v>1825</v>
      </c>
      <c r="K608" s="7" t="s">
        <v>1417</v>
      </c>
      <c r="L608" s="7">
        <v>17808.75</v>
      </c>
      <c r="M608" s="1">
        <v>41791</v>
      </c>
      <c r="N608" s="4">
        <v>6</v>
      </c>
      <c r="O608" s="2" t="s">
        <v>34</v>
      </c>
      <c r="P608" s="4">
        <v>2014</v>
      </c>
      <c r="Q608" t="str">
        <f>IF(Table1[[#This Row],[UnitsSold]]&gt;3000,"Large",IF(Table1[[#This Row],[UnitsSold]]&gt;1500,"Midium","Small"))</f>
        <v>Midium</v>
      </c>
    </row>
    <row r="609" spans="1:17" x14ac:dyDescent="0.3">
      <c r="A609" s="2" t="s">
        <v>7</v>
      </c>
      <c r="B609" s="2" t="s">
        <v>5</v>
      </c>
      <c r="C609" s="2" t="s">
        <v>111</v>
      </c>
      <c r="D609" s="2" t="s">
        <v>1078</v>
      </c>
      <c r="E609" s="4">
        <v>1565</v>
      </c>
      <c r="F609" s="7" t="s">
        <v>112</v>
      </c>
      <c r="G609" s="7">
        <v>15</v>
      </c>
      <c r="H609" s="7" t="s">
        <v>1424</v>
      </c>
      <c r="I609" s="7" t="s">
        <v>1425</v>
      </c>
      <c r="J609" s="7">
        <v>20423.25</v>
      </c>
      <c r="K609" s="7" t="s">
        <v>1426</v>
      </c>
      <c r="L609" s="7">
        <v>4773.25</v>
      </c>
      <c r="M609" s="1">
        <v>41913</v>
      </c>
      <c r="N609" s="4">
        <v>10</v>
      </c>
      <c r="O609" s="2" t="s">
        <v>66</v>
      </c>
      <c r="P609" s="4">
        <v>2014</v>
      </c>
      <c r="Q609" t="str">
        <f>IF(Table1[[#This Row],[UnitsSold]]&gt;3000,"Large",IF(Table1[[#This Row],[UnitsSold]]&gt;1500,"Midium","Small"))</f>
        <v>Midium</v>
      </c>
    </row>
    <row r="610" spans="1:17" x14ac:dyDescent="0.3">
      <c r="A610" s="2" t="s">
        <v>10</v>
      </c>
      <c r="B610" s="2" t="s">
        <v>5</v>
      </c>
      <c r="C610" s="2" t="s">
        <v>122</v>
      </c>
      <c r="D610" s="2" t="s">
        <v>1078</v>
      </c>
      <c r="E610" s="4">
        <v>1659</v>
      </c>
      <c r="F610" s="7" t="s">
        <v>123</v>
      </c>
      <c r="G610" s="7">
        <v>125</v>
      </c>
      <c r="H610" s="7" t="s">
        <v>1447</v>
      </c>
      <c r="I610" s="7" t="s">
        <v>1448</v>
      </c>
      <c r="J610" s="7" t="s">
        <v>1828</v>
      </c>
      <c r="K610" s="7" t="s">
        <v>1449</v>
      </c>
      <c r="L610" s="7">
        <v>18663.75</v>
      </c>
      <c r="M610" s="1">
        <v>41640</v>
      </c>
      <c r="N610" s="4">
        <v>1</v>
      </c>
      <c r="O610" s="2" t="s">
        <v>29</v>
      </c>
      <c r="P610" s="4">
        <v>2014</v>
      </c>
      <c r="Q610" t="str">
        <f>IF(Table1[[#This Row],[UnitsSold]]&gt;3000,"Large",IF(Table1[[#This Row],[UnitsSold]]&gt;1500,"Midium","Small"))</f>
        <v>Midium</v>
      </c>
    </row>
    <row r="611" spans="1:17" x14ac:dyDescent="0.3">
      <c r="A611" s="2" t="s">
        <v>4</v>
      </c>
      <c r="B611" s="2" t="s">
        <v>8</v>
      </c>
      <c r="C611" s="2" t="s">
        <v>122</v>
      </c>
      <c r="D611" s="2" t="s">
        <v>1078</v>
      </c>
      <c r="E611" s="4">
        <v>1190</v>
      </c>
      <c r="F611" s="7" t="s">
        <v>123</v>
      </c>
      <c r="G611" s="7">
        <v>7</v>
      </c>
      <c r="H611" s="7" t="s">
        <v>1436</v>
      </c>
      <c r="I611" s="7" t="s">
        <v>1437</v>
      </c>
      <c r="J611" s="7">
        <v>7247.1</v>
      </c>
      <c r="K611" s="7" t="s">
        <v>1438</v>
      </c>
      <c r="L611" s="7">
        <v>1297.0999999999999</v>
      </c>
      <c r="M611" s="1">
        <v>41791</v>
      </c>
      <c r="N611" s="4">
        <v>6</v>
      </c>
      <c r="O611" s="2" t="s">
        <v>34</v>
      </c>
      <c r="P611" s="4">
        <v>2014</v>
      </c>
      <c r="Q611" t="str">
        <f>IF(Table1[[#This Row],[UnitsSold]]&gt;3000,"Large",IF(Table1[[#This Row],[UnitsSold]]&gt;1500,"Midium","Small"))</f>
        <v>Small</v>
      </c>
    </row>
    <row r="612" spans="1:17" x14ac:dyDescent="0.3">
      <c r="A612" s="2" t="s">
        <v>47</v>
      </c>
      <c r="B612" s="2" t="s">
        <v>9</v>
      </c>
      <c r="C612" s="2" t="s">
        <v>122</v>
      </c>
      <c r="D612" s="2" t="s">
        <v>1078</v>
      </c>
      <c r="E612" s="4">
        <v>410</v>
      </c>
      <c r="F612" s="7" t="s">
        <v>123</v>
      </c>
      <c r="G612" s="7">
        <v>12</v>
      </c>
      <c r="H612" s="7" t="s">
        <v>1441</v>
      </c>
      <c r="I612" s="7" t="s">
        <v>1442</v>
      </c>
      <c r="J612" s="7">
        <v>4280.3999999999996</v>
      </c>
      <c r="K612" s="7" t="s">
        <v>1443</v>
      </c>
      <c r="L612" s="7">
        <v>3050.4</v>
      </c>
      <c r="M612" s="1">
        <v>41913</v>
      </c>
      <c r="N612" s="4">
        <v>10</v>
      </c>
      <c r="O612" s="2" t="s">
        <v>66</v>
      </c>
      <c r="P612" s="4">
        <v>2014</v>
      </c>
      <c r="Q612" t="str">
        <f>IF(Table1[[#This Row],[UnitsSold]]&gt;3000,"Large",IF(Table1[[#This Row],[UnitsSold]]&gt;1500,"Midium","Small"))</f>
        <v>Small</v>
      </c>
    </row>
    <row r="613" spans="1:17" x14ac:dyDescent="0.3">
      <c r="A613" s="2" t="s">
        <v>47</v>
      </c>
      <c r="B613" s="2" t="s">
        <v>6</v>
      </c>
      <c r="C613" s="2" t="s">
        <v>122</v>
      </c>
      <c r="D613" s="2" t="s">
        <v>1078</v>
      </c>
      <c r="E613" s="4">
        <v>1770</v>
      </c>
      <c r="F613" s="7" t="s">
        <v>123</v>
      </c>
      <c r="G613" s="7">
        <v>12</v>
      </c>
      <c r="H613" s="7" t="s">
        <v>1450</v>
      </c>
      <c r="I613" s="7" t="s">
        <v>1451</v>
      </c>
      <c r="J613" s="7">
        <v>18478.8</v>
      </c>
      <c r="K613" s="7" t="s">
        <v>1452</v>
      </c>
      <c r="L613" s="7">
        <v>13168.8</v>
      </c>
      <c r="M613" s="1">
        <v>41609</v>
      </c>
      <c r="N613" s="4">
        <v>12</v>
      </c>
      <c r="O613" s="2" t="s">
        <v>41</v>
      </c>
      <c r="P613" s="4">
        <v>2013</v>
      </c>
      <c r="Q613" t="str">
        <f>IF(Table1[[#This Row],[UnitsSold]]&gt;3000,"Large",IF(Table1[[#This Row],[UnitsSold]]&gt;1500,"Midium","Small"))</f>
        <v>Midium</v>
      </c>
    </row>
    <row r="614" spans="1:17" x14ac:dyDescent="0.3">
      <c r="A614" s="2" t="s">
        <v>4</v>
      </c>
      <c r="B614" s="2" t="s">
        <v>9</v>
      </c>
      <c r="C614" s="2" t="s">
        <v>23</v>
      </c>
      <c r="D614" s="2" t="s">
        <v>1078</v>
      </c>
      <c r="E614" s="4">
        <v>2579</v>
      </c>
      <c r="F614" s="7" t="s">
        <v>25</v>
      </c>
      <c r="G614" s="7">
        <v>20</v>
      </c>
      <c r="H614" s="7" t="s">
        <v>1453</v>
      </c>
      <c r="I614" s="7" t="s">
        <v>1454</v>
      </c>
      <c r="J614" s="7">
        <v>44358.8</v>
      </c>
      <c r="K614" s="7" t="s">
        <v>1455</v>
      </c>
      <c r="L614" s="7">
        <v>18568.8</v>
      </c>
      <c r="M614" s="1">
        <v>41730</v>
      </c>
      <c r="N614" s="4">
        <v>4</v>
      </c>
      <c r="O614" s="2" t="s">
        <v>117</v>
      </c>
      <c r="P614" s="4">
        <v>2014</v>
      </c>
      <c r="Q614" t="str">
        <f>IF(Table1[[#This Row],[UnitsSold]]&gt;3000,"Large",IF(Table1[[#This Row],[UnitsSold]]&gt;1500,"Midium","Small"))</f>
        <v>Midium</v>
      </c>
    </row>
    <row r="615" spans="1:17" x14ac:dyDescent="0.3">
      <c r="A615" s="2" t="s">
        <v>4</v>
      </c>
      <c r="B615" s="2" t="s">
        <v>67</v>
      </c>
      <c r="C615" s="2" t="s">
        <v>23</v>
      </c>
      <c r="D615" s="2" t="s">
        <v>1078</v>
      </c>
      <c r="E615" s="4">
        <v>1743</v>
      </c>
      <c r="F615" s="7" t="s">
        <v>25</v>
      </c>
      <c r="G615" s="7">
        <v>20</v>
      </c>
      <c r="H615" s="7" t="s">
        <v>1456</v>
      </c>
      <c r="I615" s="7" t="s">
        <v>1457</v>
      </c>
      <c r="J615" s="7">
        <v>29979.599999999999</v>
      </c>
      <c r="K615" s="7" t="s">
        <v>720</v>
      </c>
      <c r="L615" s="7">
        <v>12549.6</v>
      </c>
      <c r="M615" s="1">
        <v>41760</v>
      </c>
      <c r="N615" s="4">
        <v>5</v>
      </c>
      <c r="O615" s="2" t="s">
        <v>145</v>
      </c>
      <c r="P615" s="4">
        <v>2014</v>
      </c>
      <c r="Q615" t="str">
        <f>IF(Table1[[#This Row],[UnitsSold]]&gt;3000,"Large",IF(Table1[[#This Row],[UnitsSold]]&gt;1500,"Midium","Small"))</f>
        <v>Midium</v>
      </c>
    </row>
    <row r="616" spans="1:17" x14ac:dyDescent="0.3">
      <c r="A616" s="2" t="s">
        <v>4</v>
      </c>
      <c r="B616" s="2" t="s">
        <v>67</v>
      </c>
      <c r="C616" s="2" t="s">
        <v>23</v>
      </c>
      <c r="D616" s="2" t="s">
        <v>1078</v>
      </c>
      <c r="E616" s="4">
        <v>2996</v>
      </c>
      <c r="F616" s="7" t="s">
        <v>25</v>
      </c>
      <c r="G616" s="7">
        <v>7</v>
      </c>
      <c r="H616" s="7" t="s">
        <v>1458</v>
      </c>
      <c r="I616" s="7" t="s">
        <v>1459</v>
      </c>
      <c r="J616" s="7">
        <v>18035.919999999998</v>
      </c>
      <c r="K616" s="7" t="s">
        <v>1460</v>
      </c>
      <c r="L616" s="7">
        <v>3055.92</v>
      </c>
      <c r="M616" s="1">
        <v>41548</v>
      </c>
      <c r="N616" s="4">
        <v>10</v>
      </c>
      <c r="O616" s="2" t="s">
        <v>66</v>
      </c>
      <c r="P616" s="4">
        <v>2013</v>
      </c>
      <c r="Q616" t="str">
        <f>IF(Table1[[#This Row],[UnitsSold]]&gt;3000,"Large",IF(Table1[[#This Row],[UnitsSold]]&gt;1500,"Midium","Small"))</f>
        <v>Midium</v>
      </c>
    </row>
    <row r="617" spans="1:17" x14ac:dyDescent="0.3">
      <c r="A617" s="2" t="s">
        <v>4</v>
      </c>
      <c r="B617" s="2" t="s">
        <v>6</v>
      </c>
      <c r="C617" s="2" t="s">
        <v>23</v>
      </c>
      <c r="D617" s="2" t="s">
        <v>1078</v>
      </c>
      <c r="E617" s="4">
        <v>280</v>
      </c>
      <c r="F617" s="7" t="s">
        <v>25</v>
      </c>
      <c r="G617" s="7">
        <v>7</v>
      </c>
      <c r="H617" s="7" t="s">
        <v>1461</v>
      </c>
      <c r="I617" s="7" t="s">
        <v>1462</v>
      </c>
      <c r="J617" s="7">
        <v>1685.6</v>
      </c>
      <c r="K617" s="7" t="s">
        <v>1463</v>
      </c>
      <c r="L617" s="7">
        <v>285.60000000000002</v>
      </c>
      <c r="M617" s="1">
        <v>41974</v>
      </c>
      <c r="N617" s="4">
        <v>12</v>
      </c>
      <c r="O617" s="2" t="s">
        <v>41</v>
      </c>
      <c r="P617" s="4">
        <v>2014</v>
      </c>
      <c r="Q617" t="str">
        <f>IF(Table1[[#This Row],[UnitsSold]]&gt;3000,"Large",IF(Table1[[#This Row],[UnitsSold]]&gt;1500,"Midium","Small"))</f>
        <v>Small</v>
      </c>
    </row>
    <row r="618" spans="1:17" x14ac:dyDescent="0.3">
      <c r="A618" s="2" t="s">
        <v>4</v>
      </c>
      <c r="B618" s="2" t="s">
        <v>8</v>
      </c>
      <c r="C618" s="2" t="s">
        <v>42</v>
      </c>
      <c r="D618" s="2" t="s">
        <v>1078</v>
      </c>
      <c r="E618" s="4">
        <v>293</v>
      </c>
      <c r="F618" s="7" t="s">
        <v>43</v>
      </c>
      <c r="G618" s="7">
        <v>7</v>
      </c>
      <c r="H618" s="7" t="s">
        <v>1464</v>
      </c>
      <c r="I618" s="7" t="s">
        <v>1465</v>
      </c>
      <c r="J618" s="7">
        <v>1763.86</v>
      </c>
      <c r="K618" s="7" t="s">
        <v>478</v>
      </c>
      <c r="L618" s="7">
        <v>298.86</v>
      </c>
      <c r="M618" s="1">
        <v>41671</v>
      </c>
      <c r="N618" s="4">
        <v>2</v>
      </c>
      <c r="O618" s="2" t="s">
        <v>74</v>
      </c>
      <c r="P618" s="4">
        <v>2014</v>
      </c>
      <c r="Q618" t="str">
        <f>IF(Table1[[#This Row],[UnitsSold]]&gt;3000,"Large",IF(Table1[[#This Row],[UnitsSold]]&gt;1500,"Midium","Small"))</f>
        <v>Small</v>
      </c>
    </row>
    <row r="619" spans="1:17" x14ac:dyDescent="0.3">
      <c r="A619" s="2" t="s">
        <v>4</v>
      </c>
      <c r="B619" s="2" t="s">
        <v>67</v>
      </c>
      <c r="C619" s="2" t="s">
        <v>42</v>
      </c>
      <c r="D619" s="2" t="s">
        <v>1078</v>
      </c>
      <c r="E619" s="4">
        <v>2996</v>
      </c>
      <c r="F619" s="7" t="s">
        <v>43</v>
      </c>
      <c r="G619" s="7">
        <v>7</v>
      </c>
      <c r="H619" s="7" t="s">
        <v>1458</v>
      </c>
      <c r="I619" s="7" t="s">
        <v>1459</v>
      </c>
      <c r="J619" s="7">
        <v>18035.919999999998</v>
      </c>
      <c r="K619" s="7" t="s">
        <v>1460</v>
      </c>
      <c r="L619" s="7">
        <v>3055.92</v>
      </c>
      <c r="M619" s="1">
        <v>41548</v>
      </c>
      <c r="N619" s="4">
        <v>10</v>
      </c>
      <c r="O619" s="2" t="s">
        <v>66</v>
      </c>
      <c r="P619" s="4">
        <v>2013</v>
      </c>
      <c r="Q619" t="str">
        <f>IF(Table1[[#This Row],[UnitsSold]]&gt;3000,"Large",IF(Table1[[#This Row],[UnitsSold]]&gt;1500,"Midium","Small"))</f>
        <v>Midium</v>
      </c>
    </row>
    <row r="620" spans="1:17" x14ac:dyDescent="0.3">
      <c r="A620" s="2" t="s">
        <v>7</v>
      </c>
      <c r="B620" s="2" t="s">
        <v>6</v>
      </c>
      <c r="C620" s="2" t="s">
        <v>70</v>
      </c>
      <c r="D620" s="2" t="s">
        <v>1078</v>
      </c>
      <c r="E620" s="4">
        <v>278</v>
      </c>
      <c r="F620" s="7" t="s">
        <v>71</v>
      </c>
      <c r="G620" s="7">
        <v>15</v>
      </c>
      <c r="H620" s="7" t="s">
        <v>1466</v>
      </c>
      <c r="I620" s="7" t="s">
        <v>1467</v>
      </c>
      <c r="J620" s="7">
        <v>3586.2</v>
      </c>
      <c r="K620" s="7" t="s">
        <v>1468</v>
      </c>
      <c r="L620" s="7">
        <v>806.2</v>
      </c>
      <c r="M620" s="1">
        <v>41671</v>
      </c>
      <c r="N620" s="4">
        <v>2</v>
      </c>
      <c r="O620" s="2" t="s">
        <v>74</v>
      </c>
      <c r="P620" s="4">
        <v>2014</v>
      </c>
      <c r="Q620" t="str">
        <f>IF(Table1[[#This Row],[UnitsSold]]&gt;3000,"Large",IF(Table1[[#This Row],[UnitsSold]]&gt;1500,"Midium","Small"))</f>
        <v>Small</v>
      </c>
    </row>
    <row r="621" spans="1:17" x14ac:dyDescent="0.3">
      <c r="A621" s="2" t="s">
        <v>4</v>
      </c>
      <c r="B621" s="2" t="s">
        <v>5</v>
      </c>
      <c r="C621" s="2" t="s">
        <v>70</v>
      </c>
      <c r="D621" s="2" t="s">
        <v>1078</v>
      </c>
      <c r="E621" s="4">
        <v>2428</v>
      </c>
      <c r="F621" s="7" t="s">
        <v>71</v>
      </c>
      <c r="G621" s="7">
        <v>20</v>
      </c>
      <c r="H621" s="7" t="s">
        <v>1469</v>
      </c>
      <c r="I621" s="7" t="s">
        <v>1470</v>
      </c>
      <c r="J621" s="7">
        <v>41761.599999999999</v>
      </c>
      <c r="K621" s="7" t="s">
        <v>1471</v>
      </c>
      <c r="L621" s="7">
        <v>17481.599999999999</v>
      </c>
      <c r="M621" s="1">
        <v>41699</v>
      </c>
      <c r="N621" s="4">
        <v>3</v>
      </c>
      <c r="O621" s="2" t="s">
        <v>46</v>
      </c>
      <c r="P621" s="4">
        <v>2014</v>
      </c>
      <c r="Q621" t="str">
        <f>IF(Table1[[#This Row],[UnitsSold]]&gt;3000,"Large",IF(Table1[[#This Row],[UnitsSold]]&gt;1500,"Midium","Small"))</f>
        <v>Midium</v>
      </c>
    </row>
    <row r="622" spans="1:17" x14ac:dyDescent="0.3">
      <c r="A622" s="2" t="s">
        <v>7</v>
      </c>
      <c r="B622" s="2" t="s">
        <v>67</v>
      </c>
      <c r="C622" s="2" t="s">
        <v>70</v>
      </c>
      <c r="D622" s="2" t="s">
        <v>1078</v>
      </c>
      <c r="E622" s="4">
        <v>1767</v>
      </c>
      <c r="F622" s="7" t="s">
        <v>71</v>
      </c>
      <c r="G622" s="7">
        <v>15</v>
      </c>
      <c r="H622" s="7" t="s">
        <v>1472</v>
      </c>
      <c r="I622" s="7" t="s">
        <v>1473</v>
      </c>
      <c r="J622" s="7">
        <v>22794.3</v>
      </c>
      <c r="K622" s="7" t="s">
        <v>1474</v>
      </c>
      <c r="L622" s="7">
        <v>5124.3</v>
      </c>
      <c r="M622" s="1">
        <v>41883</v>
      </c>
      <c r="N622" s="4">
        <v>9</v>
      </c>
      <c r="O622" s="2" t="s">
        <v>63</v>
      </c>
      <c r="P622" s="4">
        <v>2014</v>
      </c>
      <c r="Q622" t="str">
        <f>IF(Table1[[#This Row],[UnitsSold]]&gt;3000,"Large",IF(Table1[[#This Row],[UnitsSold]]&gt;1500,"Midium","Small"))</f>
        <v>Midium</v>
      </c>
    </row>
    <row r="623" spans="1:17" x14ac:dyDescent="0.3">
      <c r="A623" s="2" t="s">
        <v>47</v>
      </c>
      <c r="B623" s="2" t="s">
        <v>8</v>
      </c>
      <c r="C623" s="2" t="s">
        <v>70</v>
      </c>
      <c r="D623" s="2" t="s">
        <v>1078</v>
      </c>
      <c r="E623" s="4">
        <v>1393</v>
      </c>
      <c r="F623" s="7" t="s">
        <v>71</v>
      </c>
      <c r="G623" s="7">
        <v>12</v>
      </c>
      <c r="H623" s="7" t="s">
        <v>1475</v>
      </c>
      <c r="I623" s="7" t="s">
        <v>1476</v>
      </c>
      <c r="J623" s="7">
        <v>14375.76</v>
      </c>
      <c r="K623" s="7" t="s">
        <v>1477</v>
      </c>
      <c r="L623" s="7">
        <v>10196.76</v>
      </c>
      <c r="M623" s="1">
        <v>41913</v>
      </c>
      <c r="N623" s="4">
        <v>10</v>
      </c>
      <c r="O623" s="2" t="s">
        <v>66</v>
      </c>
      <c r="P623" s="4">
        <v>2014</v>
      </c>
      <c r="Q623" t="str">
        <f>IF(Table1[[#This Row],[UnitsSold]]&gt;3000,"Large",IF(Table1[[#This Row],[UnitsSold]]&gt;1500,"Midium","Small"))</f>
        <v>Small</v>
      </c>
    </row>
    <row r="624" spans="1:17" x14ac:dyDescent="0.3">
      <c r="A624" s="2" t="s">
        <v>4</v>
      </c>
      <c r="B624" s="2" t="s">
        <v>6</v>
      </c>
      <c r="C624" s="2" t="s">
        <v>111</v>
      </c>
      <c r="D624" s="2" t="s">
        <v>1078</v>
      </c>
      <c r="E624" s="4">
        <v>280</v>
      </c>
      <c r="F624" s="7" t="s">
        <v>112</v>
      </c>
      <c r="G624" s="7">
        <v>7</v>
      </c>
      <c r="H624" s="7" t="s">
        <v>1461</v>
      </c>
      <c r="I624" s="7" t="s">
        <v>1462</v>
      </c>
      <c r="J624" s="7">
        <v>1685.6</v>
      </c>
      <c r="K624" s="7" t="s">
        <v>1463</v>
      </c>
      <c r="L624" s="7">
        <v>285.60000000000002</v>
      </c>
      <c r="M624" s="1">
        <v>41974</v>
      </c>
      <c r="N624" s="4">
        <v>12</v>
      </c>
      <c r="O624" s="2" t="s">
        <v>41</v>
      </c>
      <c r="P624" s="4">
        <v>2014</v>
      </c>
      <c r="Q624" t="str">
        <f>IF(Table1[[#This Row],[UnitsSold]]&gt;3000,"Large",IF(Table1[[#This Row],[UnitsSold]]&gt;1500,"Midium","Small"))</f>
        <v>Small</v>
      </c>
    </row>
    <row r="625" spans="1:17" x14ac:dyDescent="0.3">
      <c r="A625" s="2" t="s">
        <v>47</v>
      </c>
      <c r="B625" s="2" t="s">
        <v>8</v>
      </c>
      <c r="C625" s="2" t="s">
        <v>122</v>
      </c>
      <c r="D625" s="2" t="s">
        <v>1078</v>
      </c>
      <c r="E625" s="4">
        <v>1393</v>
      </c>
      <c r="F625" s="7" t="s">
        <v>123</v>
      </c>
      <c r="G625" s="7">
        <v>12</v>
      </c>
      <c r="H625" s="7" t="s">
        <v>1475</v>
      </c>
      <c r="I625" s="7" t="s">
        <v>1476</v>
      </c>
      <c r="J625" s="7">
        <v>14375.76</v>
      </c>
      <c r="K625" s="7" t="s">
        <v>1477</v>
      </c>
      <c r="L625" s="7">
        <v>10196.76</v>
      </c>
      <c r="M625" s="1">
        <v>41913</v>
      </c>
      <c r="N625" s="4">
        <v>10</v>
      </c>
      <c r="O625" s="2" t="s">
        <v>66</v>
      </c>
      <c r="P625" s="4">
        <v>2014</v>
      </c>
      <c r="Q625" t="str">
        <f>IF(Table1[[#This Row],[UnitsSold]]&gt;3000,"Large",IF(Table1[[#This Row],[UnitsSold]]&gt;1500,"Midium","Small"))</f>
        <v>Small</v>
      </c>
    </row>
    <row r="626" spans="1:17" x14ac:dyDescent="0.3">
      <c r="A626" s="2" t="s">
        <v>47</v>
      </c>
      <c r="B626" s="2" t="s">
        <v>67</v>
      </c>
      <c r="C626" s="2" t="s">
        <v>122</v>
      </c>
      <c r="D626" s="2" t="s">
        <v>1078</v>
      </c>
      <c r="E626" s="4">
        <v>2015</v>
      </c>
      <c r="F626" s="7" t="s">
        <v>123</v>
      </c>
      <c r="G626" s="7">
        <v>12</v>
      </c>
      <c r="H626" s="7" t="s">
        <v>1478</v>
      </c>
      <c r="I626" s="7" t="s">
        <v>1479</v>
      </c>
      <c r="J626" s="7">
        <v>20794.8</v>
      </c>
      <c r="K626" s="7" t="s">
        <v>1480</v>
      </c>
      <c r="L626" s="7">
        <v>14749.8</v>
      </c>
      <c r="M626" s="1">
        <v>41609</v>
      </c>
      <c r="N626" s="4">
        <v>12</v>
      </c>
      <c r="O626" s="2" t="s">
        <v>41</v>
      </c>
      <c r="P626" s="4">
        <v>2013</v>
      </c>
      <c r="Q626" t="str">
        <f>IF(Table1[[#This Row],[UnitsSold]]&gt;3000,"Large",IF(Table1[[#This Row],[UnitsSold]]&gt;1500,"Midium","Small"))</f>
        <v>Midium</v>
      </c>
    </row>
    <row r="627" spans="1:17" x14ac:dyDescent="0.3">
      <c r="A627" s="2" t="s">
        <v>57</v>
      </c>
      <c r="B627" s="2" t="s">
        <v>9</v>
      </c>
      <c r="C627" s="2" t="s">
        <v>23</v>
      </c>
      <c r="D627" s="2" t="s">
        <v>1078</v>
      </c>
      <c r="E627" s="4">
        <v>801</v>
      </c>
      <c r="F627" s="7" t="s">
        <v>25</v>
      </c>
      <c r="G627" s="7">
        <v>300</v>
      </c>
      <c r="H627" s="7" t="s">
        <v>1482</v>
      </c>
      <c r="I627" s="7" t="s">
        <v>1483</v>
      </c>
      <c r="J627" s="7" t="s">
        <v>1829</v>
      </c>
      <c r="K627" s="7" t="s">
        <v>1484</v>
      </c>
      <c r="L627" s="7">
        <v>6408</v>
      </c>
      <c r="M627" s="1">
        <v>41821</v>
      </c>
      <c r="N627" s="4">
        <v>7</v>
      </c>
      <c r="O627" s="2" t="s">
        <v>56</v>
      </c>
      <c r="P627" s="4">
        <v>2014</v>
      </c>
      <c r="Q627" t="str">
        <f>IF(Table1[[#This Row],[UnitsSold]]&gt;3000,"Large",IF(Table1[[#This Row],[UnitsSold]]&gt;1500,"Midium","Small"))</f>
        <v>Small</v>
      </c>
    </row>
    <row r="628" spans="1:17" x14ac:dyDescent="0.3">
      <c r="A628" s="2" t="s">
        <v>10</v>
      </c>
      <c r="B628" s="2" t="s">
        <v>8</v>
      </c>
      <c r="C628" s="2" t="s">
        <v>23</v>
      </c>
      <c r="D628" s="2" t="s">
        <v>1078</v>
      </c>
      <c r="E628" s="4">
        <v>1023</v>
      </c>
      <c r="F628" s="7" t="s">
        <v>25</v>
      </c>
      <c r="G628" s="7">
        <v>125</v>
      </c>
      <c r="H628" s="7" t="s">
        <v>1485</v>
      </c>
      <c r="I628" s="7" t="s">
        <v>1486</v>
      </c>
      <c r="J628" s="7" t="s">
        <v>1830</v>
      </c>
      <c r="K628" s="7" t="s">
        <v>1487</v>
      </c>
      <c r="L628" s="7">
        <v>12787.5</v>
      </c>
      <c r="M628" s="1">
        <v>41518</v>
      </c>
      <c r="N628" s="4">
        <v>9</v>
      </c>
      <c r="O628" s="2" t="s">
        <v>63</v>
      </c>
      <c r="P628" s="4">
        <v>2013</v>
      </c>
      <c r="Q628" t="str">
        <f>IF(Table1[[#This Row],[UnitsSold]]&gt;3000,"Large",IF(Table1[[#This Row],[UnitsSold]]&gt;1500,"Midium","Small"))</f>
        <v>Small</v>
      </c>
    </row>
    <row r="629" spans="1:17" x14ac:dyDescent="0.3">
      <c r="A629" s="2" t="s">
        <v>57</v>
      </c>
      <c r="B629" s="2" t="s">
        <v>5</v>
      </c>
      <c r="C629" s="2" t="s">
        <v>23</v>
      </c>
      <c r="D629" s="2" t="s">
        <v>1078</v>
      </c>
      <c r="E629" s="4">
        <v>1496</v>
      </c>
      <c r="F629" s="7" t="s">
        <v>25</v>
      </c>
      <c r="G629" s="7">
        <v>300</v>
      </c>
      <c r="H629" s="7" t="s">
        <v>1488</v>
      </c>
      <c r="I629" s="7" t="s">
        <v>1489</v>
      </c>
      <c r="J629" s="7" t="s">
        <v>1831</v>
      </c>
      <c r="K629" s="7" t="s">
        <v>570</v>
      </c>
      <c r="L629" s="7">
        <v>11968</v>
      </c>
      <c r="M629" s="1">
        <v>41913</v>
      </c>
      <c r="N629" s="4">
        <v>10</v>
      </c>
      <c r="O629" s="2" t="s">
        <v>66</v>
      </c>
      <c r="P629" s="4">
        <v>2014</v>
      </c>
      <c r="Q629" t="str">
        <f>IF(Table1[[#This Row],[UnitsSold]]&gt;3000,"Large",IF(Table1[[#This Row],[UnitsSold]]&gt;1500,"Midium","Small"))</f>
        <v>Small</v>
      </c>
    </row>
    <row r="630" spans="1:17" x14ac:dyDescent="0.3">
      <c r="A630" s="2" t="s">
        <v>57</v>
      </c>
      <c r="B630" s="2" t="s">
        <v>67</v>
      </c>
      <c r="C630" s="2" t="s">
        <v>23</v>
      </c>
      <c r="D630" s="2" t="s">
        <v>1078</v>
      </c>
      <c r="E630" s="4">
        <v>1010</v>
      </c>
      <c r="F630" s="7" t="s">
        <v>25</v>
      </c>
      <c r="G630" s="7">
        <v>300</v>
      </c>
      <c r="H630" s="7" t="s">
        <v>1490</v>
      </c>
      <c r="I630" s="7" t="s">
        <v>1491</v>
      </c>
      <c r="J630" s="7" t="s">
        <v>1832</v>
      </c>
      <c r="K630" s="7" t="s">
        <v>1492</v>
      </c>
      <c r="L630" s="7">
        <v>8080</v>
      </c>
      <c r="M630" s="1">
        <v>41913</v>
      </c>
      <c r="N630" s="4">
        <v>10</v>
      </c>
      <c r="O630" s="2" t="s">
        <v>66</v>
      </c>
      <c r="P630" s="4">
        <v>2014</v>
      </c>
      <c r="Q630" t="str">
        <f>IF(Table1[[#This Row],[UnitsSold]]&gt;3000,"Large",IF(Table1[[#This Row],[UnitsSold]]&gt;1500,"Midium","Small"))</f>
        <v>Small</v>
      </c>
    </row>
    <row r="631" spans="1:17" x14ac:dyDescent="0.3">
      <c r="A631" s="2" t="s">
        <v>7</v>
      </c>
      <c r="B631" s="2" t="s">
        <v>6</v>
      </c>
      <c r="C631" s="2" t="s">
        <v>23</v>
      </c>
      <c r="D631" s="2" t="s">
        <v>1078</v>
      </c>
      <c r="E631" s="4">
        <v>1513</v>
      </c>
      <c r="F631" s="7" t="s">
        <v>25</v>
      </c>
      <c r="G631" s="7">
        <v>15</v>
      </c>
      <c r="H631" s="7" t="s">
        <v>1493</v>
      </c>
      <c r="I631" s="7" t="s">
        <v>1494</v>
      </c>
      <c r="J631" s="7">
        <v>19517.7</v>
      </c>
      <c r="K631" s="7" t="s">
        <v>1495</v>
      </c>
      <c r="L631" s="7">
        <v>4387.7</v>
      </c>
      <c r="M631" s="1">
        <v>41944</v>
      </c>
      <c r="N631" s="4">
        <v>11</v>
      </c>
      <c r="O631" s="2" t="s">
        <v>94</v>
      </c>
      <c r="P631" s="4">
        <v>2014</v>
      </c>
      <c r="Q631" t="str">
        <f>IF(Table1[[#This Row],[UnitsSold]]&gt;3000,"Large",IF(Table1[[#This Row],[UnitsSold]]&gt;1500,"Midium","Small"))</f>
        <v>Midium</v>
      </c>
    </row>
    <row r="632" spans="1:17" x14ac:dyDescent="0.3">
      <c r="A632" s="2" t="s">
        <v>7</v>
      </c>
      <c r="B632" s="2" t="s">
        <v>5</v>
      </c>
      <c r="C632" s="2" t="s">
        <v>23</v>
      </c>
      <c r="D632" s="2" t="s">
        <v>1078</v>
      </c>
      <c r="E632" s="4">
        <v>2300</v>
      </c>
      <c r="F632" s="7" t="s">
        <v>25</v>
      </c>
      <c r="G632" s="7">
        <v>15</v>
      </c>
      <c r="H632" s="7" t="s">
        <v>1496</v>
      </c>
      <c r="I632" s="7" t="s">
        <v>1497</v>
      </c>
      <c r="J632" s="7">
        <v>29670</v>
      </c>
      <c r="K632" s="7" t="s">
        <v>1498</v>
      </c>
      <c r="L632" s="7">
        <v>6670</v>
      </c>
      <c r="M632" s="1">
        <v>41974</v>
      </c>
      <c r="N632" s="4">
        <v>12</v>
      </c>
      <c r="O632" s="2" t="s">
        <v>41</v>
      </c>
      <c r="P632" s="4">
        <v>2014</v>
      </c>
      <c r="Q632" t="str">
        <f>IF(Table1[[#This Row],[UnitsSold]]&gt;3000,"Large",IF(Table1[[#This Row],[UnitsSold]]&gt;1500,"Midium","Small"))</f>
        <v>Midium</v>
      </c>
    </row>
    <row r="633" spans="1:17" x14ac:dyDescent="0.3">
      <c r="A633" s="2" t="s">
        <v>10</v>
      </c>
      <c r="B633" s="2" t="s">
        <v>9</v>
      </c>
      <c r="C633" s="2" t="s">
        <v>23</v>
      </c>
      <c r="D633" s="2" t="s">
        <v>1078</v>
      </c>
      <c r="E633" s="4">
        <v>2821</v>
      </c>
      <c r="F633" s="7" t="s">
        <v>25</v>
      </c>
      <c r="G633" s="7">
        <v>125</v>
      </c>
      <c r="H633" s="7" t="s">
        <v>109</v>
      </c>
      <c r="I633" s="7" t="s">
        <v>1499</v>
      </c>
      <c r="J633" s="7" t="s">
        <v>1833</v>
      </c>
      <c r="K633" s="7" t="s">
        <v>110</v>
      </c>
      <c r="L633" s="7">
        <v>35262.5</v>
      </c>
      <c r="M633" s="1">
        <v>41609</v>
      </c>
      <c r="N633" s="4">
        <v>12</v>
      </c>
      <c r="O633" s="2" t="s">
        <v>41</v>
      </c>
      <c r="P633" s="4">
        <v>2013</v>
      </c>
      <c r="Q633" t="str">
        <f>IF(Table1[[#This Row],[UnitsSold]]&gt;3000,"Large",IF(Table1[[#This Row],[UnitsSold]]&gt;1500,"Midium","Small"))</f>
        <v>Midium</v>
      </c>
    </row>
    <row r="634" spans="1:17" x14ac:dyDescent="0.3">
      <c r="A634" s="2" t="s">
        <v>4</v>
      </c>
      <c r="B634" s="2" t="s">
        <v>5</v>
      </c>
      <c r="C634" s="2" t="s">
        <v>42</v>
      </c>
      <c r="D634" s="2" t="s">
        <v>1078</v>
      </c>
      <c r="E634" s="4">
        <v>2227.5</v>
      </c>
      <c r="F634" s="7" t="s">
        <v>43</v>
      </c>
      <c r="G634" s="7">
        <v>350</v>
      </c>
      <c r="H634" s="7" t="s">
        <v>1500</v>
      </c>
      <c r="I634" s="7" t="s">
        <v>1501</v>
      </c>
      <c r="J634" s="7" t="s">
        <v>1834</v>
      </c>
      <c r="K634" s="7" t="s">
        <v>1502</v>
      </c>
      <c r="L634" s="7">
        <v>91327.5</v>
      </c>
      <c r="M634" s="1">
        <v>41640</v>
      </c>
      <c r="N634" s="4">
        <v>1</v>
      </c>
      <c r="O634" s="2" t="s">
        <v>29</v>
      </c>
      <c r="P634" s="4">
        <v>2014</v>
      </c>
      <c r="Q634" t="str">
        <f>IF(Table1[[#This Row],[UnitsSold]]&gt;3000,"Large",IF(Table1[[#This Row],[UnitsSold]]&gt;1500,"Midium","Small"))</f>
        <v>Midium</v>
      </c>
    </row>
    <row r="635" spans="1:17" x14ac:dyDescent="0.3">
      <c r="A635" s="2" t="s">
        <v>4</v>
      </c>
      <c r="B635" s="2" t="s">
        <v>6</v>
      </c>
      <c r="C635" s="2" t="s">
        <v>42</v>
      </c>
      <c r="D635" s="2" t="s">
        <v>1078</v>
      </c>
      <c r="E635" s="4">
        <v>1199</v>
      </c>
      <c r="F635" s="7" t="s">
        <v>43</v>
      </c>
      <c r="G635" s="7">
        <v>350</v>
      </c>
      <c r="H635" s="7" t="s">
        <v>1503</v>
      </c>
      <c r="I635" s="7" t="s">
        <v>1504</v>
      </c>
      <c r="J635" s="7" t="s">
        <v>1835</v>
      </c>
      <c r="K635" s="7" t="s">
        <v>1505</v>
      </c>
      <c r="L635" s="7">
        <v>49159</v>
      </c>
      <c r="M635" s="1">
        <v>41730</v>
      </c>
      <c r="N635" s="4">
        <v>4</v>
      </c>
      <c r="O635" s="2" t="s">
        <v>117</v>
      </c>
      <c r="P635" s="4">
        <v>2014</v>
      </c>
      <c r="Q635" t="str">
        <f>IF(Table1[[#This Row],[UnitsSold]]&gt;3000,"Large",IF(Table1[[#This Row],[UnitsSold]]&gt;1500,"Midium","Small"))</f>
        <v>Small</v>
      </c>
    </row>
    <row r="636" spans="1:17" x14ac:dyDescent="0.3">
      <c r="A636" s="2" t="s">
        <v>4</v>
      </c>
      <c r="B636" s="2" t="s">
        <v>5</v>
      </c>
      <c r="C636" s="2" t="s">
        <v>42</v>
      </c>
      <c r="D636" s="2" t="s">
        <v>1078</v>
      </c>
      <c r="E636" s="4">
        <v>200</v>
      </c>
      <c r="F636" s="7" t="s">
        <v>43</v>
      </c>
      <c r="G636" s="7">
        <v>350</v>
      </c>
      <c r="H636" s="7" t="s">
        <v>1506</v>
      </c>
      <c r="I636" s="7" t="s">
        <v>1507</v>
      </c>
      <c r="J636" s="7">
        <v>60200</v>
      </c>
      <c r="K636" s="7" t="s">
        <v>1508</v>
      </c>
      <c r="L636" s="7">
        <v>8200</v>
      </c>
      <c r="M636" s="1">
        <v>41760</v>
      </c>
      <c r="N636" s="4">
        <v>5</v>
      </c>
      <c r="O636" s="2" t="s">
        <v>145</v>
      </c>
      <c r="P636" s="4">
        <v>2014</v>
      </c>
      <c r="Q636" t="str">
        <f>IF(Table1[[#This Row],[UnitsSold]]&gt;3000,"Large",IF(Table1[[#This Row],[UnitsSold]]&gt;1500,"Midium","Small"))</f>
        <v>Small</v>
      </c>
    </row>
    <row r="637" spans="1:17" x14ac:dyDescent="0.3">
      <c r="A637" s="2" t="s">
        <v>4</v>
      </c>
      <c r="B637" s="2" t="s">
        <v>5</v>
      </c>
      <c r="C637" s="2" t="s">
        <v>42</v>
      </c>
      <c r="D637" s="2" t="s">
        <v>1078</v>
      </c>
      <c r="E637" s="4">
        <v>388</v>
      </c>
      <c r="F637" s="7" t="s">
        <v>43</v>
      </c>
      <c r="G637" s="7">
        <v>7</v>
      </c>
      <c r="H637" s="7" t="s">
        <v>1509</v>
      </c>
      <c r="I637" s="7" t="s">
        <v>1510</v>
      </c>
      <c r="J637" s="7">
        <v>2335.7600000000002</v>
      </c>
      <c r="K637" s="7" t="s">
        <v>330</v>
      </c>
      <c r="L637" s="7">
        <v>395.76</v>
      </c>
      <c r="M637" s="1">
        <v>41883</v>
      </c>
      <c r="N637" s="4">
        <v>9</v>
      </c>
      <c r="O637" s="2" t="s">
        <v>63</v>
      </c>
      <c r="P637" s="4">
        <v>2014</v>
      </c>
      <c r="Q637" t="str">
        <f>IF(Table1[[#This Row],[UnitsSold]]&gt;3000,"Large",IF(Table1[[#This Row],[UnitsSold]]&gt;1500,"Midium","Small"))</f>
        <v>Small</v>
      </c>
    </row>
    <row r="638" spans="1:17" x14ac:dyDescent="0.3">
      <c r="A638" s="2" t="s">
        <v>4</v>
      </c>
      <c r="B638" s="2" t="s">
        <v>9</v>
      </c>
      <c r="C638" s="2" t="s">
        <v>42</v>
      </c>
      <c r="D638" s="2" t="s">
        <v>1078</v>
      </c>
      <c r="E638" s="4">
        <v>1727</v>
      </c>
      <c r="F638" s="7" t="s">
        <v>43</v>
      </c>
      <c r="G638" s="7">
        <v>7</v>
      </c>
      <c r="H638" s="7" t="s">
        <v>1511</v>
      </c>
      <c r="I638" s="7" t="s">
        <v>1512</v>
      </c>
      <c r="J638" s="7">
        <v>10396.540000000001</v>
      </c>
      <c r="K638" s="7" t="s">
        <v>1513</v>
      </c>
      <c r="L638" s="7">
        <v>1761.54</v>
      </c>
      <c r="M638" s="1">
        <v>41548</v>
      </c>
      <c r="N638" s="4">
        <v>10</v>
      </c>
      <c r="O638" s="2" t="s">
        <v>66</v>
      </c>
      <c r="P638" s="4">
        <v>2013</v>
      </c>
      <c r="Q638" t="str">
        <f>IF(Table1[[#This Row],[UnitsSold]]&gt;3000,"Large",IF(Table1[[#This Row],[UnitsSold]]&gt;1500,"Midium","Small"))</f>
        <v>Midium</v>
      </c>
    </row>
    <row r="639" spans="1:17" x14ac:dyDescent="0.3">
      <c r="A639" s="2" t="s">
        <v>7</v>
      </c>
      <c r="B639" s="2" t="s">
        <v>5</v>
      </c>
      <c r="C639" s="2" t="s">
        <v>42</v>
      </c>
      <c r="D639" s="2" t="s">
        <v>1078</v>
      </c>
      <c r="E639" s="4">
        <v>2300</v>
      </c>
      <c r="F639" s="7" t="s">
        <v>43</v>
      </c>
      <c r="G639" s="7">
        <v>15</v>
      </c>
      <c r="H639" s="7" t="s">
        <v>1496</v>
      </c>
      <c r="I639" s="7" t="s">
        <v>1497</v>
      </c>
      <c r="J639" s="7">
        <v>29670</v>
      </c>
      <c r="K639" s="7" t="s">
        <v>1498</v>
      </c>
      <c r="L639" s="7">
        <v>6670</v>
      </c>
      <c r="M639" s="1">
        <v>41974</v>
      </c>
      <c r="N639" s="4">
        <v>12</v>
      </c>
      <c r="O639" s="2" t="s">
        <v>41</v>
      </c>
      <c r="P639" s="4">
        <v>2014</v>
      </c>
      <c r="Q639" t="str">
        <f>IF(Table1[[#This Row],[UnitsSold]]&gt;3000,"Large",IF(Table1[[#This Row],[UnitsSold]]&gt;1500,"Midium","Small"))</f>
        <v>Midium</v>
      </c>
    </row>
    <row r="640" spans="1:17" x14ac:dyDescent="0.3">
      <c r="A640" s="2" t="s">
        <v>4</v>
      </c>
      <c r="B640" s="2" t="s">
        <v>9</v>
      </c>
      <c r="C640" s="2" t="s">
        <v>70</v>
      </c>
      <c r="D640" s="2" t="s">
        <v>1078</v>
      </c>
      <c r="E640" s="4">
        <v>260</v>
      </c>
      <c r="F640" s="7" t="s">
        <v>71</v>
      </c>
      <c r="G640" s="7">
        <v>20</v>
      </c>
      <c r="H640" s="7" t="s">
        <v>1514</v>
      </c>
      <c r="I640" s="7" t="s">
        <v>1515</v>
      </c>
      <c r="J640" s="7">
        <v>4472</v>
      </c>
      <c r="K640" s="7" t="s">
        <v>1516</v>
      </c>
      <c r="L640" s="7">
        <v>1872</v>
      </c>
      <c r="M640" s="1">
        <v>41671</v>
      </c>
      <c r="N640" s="4">
        <v>2</v>
      </c>
      <c r="O640" s="2" t="s">
        <v>74</v>
      </c>
      <c r="P640" s="4">
        <v>2014</v>
      </c>
      <c r="Q640" t="str">
        <f>IF(Table1[[#This Row],[UnitsSold]]&gt;3000,"Large",IF(Table1[[#This Row],[UnitsSold]]&gt;1500,"Midium","Small"))</f>
        <v>Small</v>
      </c>
    </row>
    <row r="641" spans="1:17" x14ac:dyDescent="0.3">
      <c r="A641" s="2" t="s">
        <v>7</v>
      </c>
      <c r="B641" s="2" t="s">
        <v>5</v>
      </c>
      <c r="C641" s="2" t="s">
        <v>70</v>
      </c>
      <c r="D641" s="2" t="s">
        <v>1078</v>
      </c>
      <c r="E641" s="4">
        <v>2470</v>
      </c>
      <c r="F641" s="7" t="s">
        <v>71</v>
      </c>
      <c r="G641" s="7">
        <v>15</v>
      </c>
      <c r="H641" s="7" t="s">
        <v>37</v>
      </c>
      <c r="I641" s="7" t="s">
        <v>1517</v>
      </c>
      <c r="J641" s="7">
        <v>31863</v>
      </c>
      <c r="K641" s="7" t="s">
        <v>38</v>
      </c>
      <c r="L641" s="7">
        <v>7163</v>
      </c>
      <c r="M641" s="1">
        <v>41518</v>
      </c>
      <c r="N641" s="4">
        <v>9</v>
      </c>
      <c r="O641" s="2" t="s">
        <v>63</v>
      </c>
      <c r="P641" s="4">
        <v>2013</v>
      </c>
      <c r="Q641" t="str">
        <f>IF(Table1[[#This Row],[UnitsSold]]&gt;3000,"Large",IF(Table1[[#This Row],[UnitsSold]]&gt;1500,"Midium","Small"))</f>
        <v>Midium</v>
      </c>
    </row>
    <row r="642" spans="1:17" x14ac:dyDescent="0.3">
      <c r="A642" s="2" t="s">
        <v>7</v>
      </c>
      <c r="B642" s="2" t="s">
        <v>5</v>
      </c>
      <c r="C642" s="2" t="s">
        <v>70</v>
      </c>
      <c r="D642" s="2" t="s">
        <v>1078</v>
      </c>
      <c r="E642" s="4">
        <v>1743</v>
      </c>
      <c r="F642" s="7" t="s">
        <v>71</v>
      </c>
      <c r="G642" s="7">
        <v>15</v>
      </c>
      <c r="H642" s="7" t="s">
        <v>718</v>
      </c>
      <c r="I642" s="7" t="s">
        <v>1518</v>
      </c>
      <c r="J642" s="7">
        <v>22484.7</v>
      </c>
      <c r="K642" s="7" t="s">
        <v>720</v>
      </c>
      <c r="L642" s="7">
        <v>5054.7</v>
      </c>
      <c r="M642" s="1">
        <v>41548</v>
      </c>
      <c r="N642" s="4">
        <v>10</v>
      </c>
      <c r="O642" s="2" t="s">
        <v>66</v>
      </c>
      <c r="P642" s="4">
        <v>2013</v>
      </c>
      <c r="Q642" t="str">
        <f>IF(Table1[[#This Row],[UnitsSold]]&gt;3000,"Large",IF(Table1[[#This Row],[UnitsSold]]&gt;1500,"Midium","Small"))</f>
        <v>Midium</v>
      </c>
    </row>
    <row r="643" spans="1:17" x14ac:dyDescent="0.3">
      <c r="A643" s="2" t="s">
        <v>47</v>
      </c>
      <c r="B643" s="2" t="s">
        <v>67</v>
      </c>
      <c r="C643" s="2" t="s">
        <v>70</v>
      </c>
      <c r="D643" s="2" t="s">
        <v>1078</v>
      </c>
      <c r="E643" s="4">
        <v>2914</v>
      </c>
      <c r="F643" s="7" t="s">
        <v>71</v>
      </c>
      <c r="G643" s="7">
        <v>12</v>
      </c>
      <c r="H643" s="7" t="s">
        <v>1519</v>
      </c>
      <c r="I643" s="7" t="s">
        <v>1520</v>
      </c>
      <c r="J643" s="7">
        <v>30072.48</v>
      </c>
      <c r="K643" s="7" t="s">
        <v>1521</v>
      </c>
      <c r="L643" s="7">
        <v>21330.48</v>
      </c>
      <c r="M643" s="1">
        <v>41913</v>
      </c>
      <c r="N643" s="4">
        <v>10</v>
      </c>
      <c r="O643" s="2" t="s">
        <v>66</v>
      </c>
      <c r="P643" s="4">
        <v>2014</v>
      </c>
      <c r="Q643" t="str">
        <f>IF(Table1[[#This Row],[UnitsSold]]&gt;3000,"Large",IF(Table1[[#This Row],[UnitsSold]]&gt;1500,"Midium","Small"))</f>
        <v>Midium</v>
      </c>
    </row>
    <row r="644" spans="1:17" x14ac:dyDescent="0.3">
      <c r="A644" s="2" t="s">
        <v>4</v>
      </c>
      <c r="B644" s="2" t="s">
        <v>8</v>
      </c>
      <c r="C644" s="2" t="s">
        <v>70</v>
      </c>
      <c r="D644" s="2" t="s">
        <v>1078</v>
      </c>
      <c r="E644" s="4">
        <v>1731</v>
      </c>
      <c r="F644" s="7" t="s">
        <v>71</v>
      </c>
      <c r="G644" s="7">
        <v>7</v>
      </c>
      <c r="H644" s="7" t="s">
        <v>1522</v>
      </c>
      <c r="I644" s="7" t="s">
        <v>1523</v>
      </c>
      <c r="J644" s="7">
        <v>10420.620000000001</v>
      </c>
      <c r="K644" s="7" t="s">
        <v>1524</v>
      </c>
      <c r="L644" s="7">
        <v>1765.62</v>
      </c>
      <c r="M644" s="1">
        <v>41913</v>
      </c>
      <c r="N644" s="4">
        <v>10</v>
      </c>
      <c r="O644" s="2" t="s">
        <v>66</v>
      </c>
      <c r="P644" s="4">
        <v>2014</v>
      </c>
      <c r="Q644" t="str">
        <f>IF(Table1[[#This Row],[UnitsSold]]&gt;3000,"Large",IF(Table1[[#This Row],[UnitsSold]]&gt;1500,"Midium","Small"))</f>
        <v>Midium</v>
      </c>
    </row>
    <row r="645" spans="1:17" x14ac:dyDescent="0.3">
      <c r="A645" s="2" t="s">
        <v>4</v>
      </c>
      <c r="B645" s="2" t="s">
        <v>5</v>
      </c>
      <c r="C645" s="2" t="s">
        <v>70</v>
      </c>
      <c r="D645" s="2" t="s">
        <v>1078</v>
      </c>
      <c r="E645" s="4">
        <v>700</v>
      </c>
      <c r="F645" s="7" t="s">
        <v>71</v>
      </c>
      <c r="G645" s="7">
        <v>350</v>
      </c>
      <c r="H645" s="7" t="s">
        <v>1525</v>
      </c>
      <c r="I645" s="7" t="s">
        <v>1303</v>
      </c>
      <c r="J645" s="7" t="s">
        <v>1836</v>
      </c>
      <c r="K645" s="7" t="s">
        <v>1526</v>
      </c>
      <c r="L645" s="7">
        <v>28700</v>
      </c>
      <c r="M645" s="1">
        <v>41944</v>
      </c>
      <c r="N645" s="4">
        <v>11</v>
      </c>
      <c r="O645" s="2" t="s">
        <v>94</v>
      </c>
      <c r="P645" s="4">
        <v>2014</v>
      </c>
      <c r="Q645" t="str">
        <f>IF(Table1[[#This Row],[UnitsSold]]&gt;3000,"Large",IF(Table1[[#This Row],[UnitsSold]]&gt;1500,"Midium","Small"))</f>
        <v>Small</v>
      </c>
    </row>
    <row r="646" spans="1:17" x14ac:dyDescent="0.3">
      <c r="A646" s="2" t="s">
        <v>47</v>
      </c>
      <c r="B646" s="2" t="s">
        <v>5</v>
      </c>
      <c r="C646" s="2" t="s">
        <v>70</v>
      </c>
      <c r="D646" s="2" t="s">
        <v>1078</v>
      </c>
      <c r="E646" s="4">
        <v>2222</v>
      </c>
      <c r="F646" s="7" t="s">
        <v>71</v>
      </c>
      <c r="G646" s="7">
        <v>12</v>
      </c>
      <c r="H646" s="7" t="s">
        <v>1527</v>
      </c>
      <c r="I646" s="7" t="s">
        <v>1528</v>
      </c>
      <c r="J646" s="7">
        <v>22931.040000000001</v>
      </c>
      <c r="K646" s="7" t="s">
        <v>1529</v>
      </c>
      <c r="L646" s="7">
        <v>16265.04</v>
      </c>
      <c r="M646" s="1">
        <v>41579</v>
      </c>
      <c r="N646" s="4">
        <v>11</v>
      </c>
      <c r="O646" s="2" t="s">
        <v>94</v>
      </c>
      <c r="P646" s="4">
        <v>2013</v>
      </c>
      <c r="Q646" t="str">
        <f>IF(Table1[[#This Row],[UnitsSold]]&gt;3000,"Large",IF(Table1[[#This Row],[UnitsSold]]&gt;1500,"Midium","Small"))</f>
        <v>Midium</v>
      </c>
    </row>
    <row r="647" spans="1:17" x14ac:dyDescent="0.3">
      <c r="A647" s="2" t="s">
        <v>4</v>
      </c>
      <c r="B647" s="2" t="s">
        <v>67</v>
      </c>
      <c r="C647" s="2" t="s">
        <v>70</v>
      </c>
      <c r="D647" s="2" t="s">
        <v>1078</v>
      </c>
      <c r="E647" s="4">
        <v>1177</v>
      </c>
      <c r="F647" s="7" t="s">
        <v>71</v>
      </c>
      <c r="G647" s="7">
        <v>350</v>
      </c>
      <c r="H647" s="7" t="s">
        <v>1530</v>
      </c>
      <c r="I647" s="7" t="s">
        <v>1531</v>
      </c>
      <c r="J647" s="7" t="s">
        <v>1837</v>
      </c>
      <c r="K647" s="7" t="s">
        <v>1532</v>
      </c>
      <c r="L647" s="7">
        <v>48257</v>
      </c>
      <c r="M647" s="1">
        <v>41944</v>
      </c>
      <c r="N647" s="4">
        <v>11</v>
      </c>
      <c r="O647" s="2" t="s">
        <v>94</v>
      </c>
      <c r="P647" s="4">
        <v>2014</v>
      </c>
      <c r="Q647" t="str">
        <f>IF(Table1[[#This Row],[UnitsSold]]&gt;3000,"Large",IF(Table1[[#This Row],[UnitsSold]]&gt;1500,"Midium","Small"))</f>
        <v>Small</v>
      </c>
    </row>
    <row r="648" spans="1:17" x14ac:dyDescent="0.3">
      <c r="A648" s="2" t="s">
        <v>4</v>
      </c>
      <c r="B648" s="2" t="s">
        <v>8</v>
      </c>
      <c r="C648" s="2" t="s">
        <v>70</v>
      </c>
      <c r="D648" s="2" t="s">
        <v>1078</v>
      </c>
      <c r="E648" s="4">
        <v>1922</v>
      </c>
      <c r="F648" s="7" t="s">
        <v>71</v>
      </c>
      <c r="G648" s="7">
        <v>350</v>
      </c>
      <c r="H648" s="7" t="s">
        <v>1533</v>
      </c>
      <c r="I648" s="7" t="s">
        <v>1534</v>
      </c>
      <c r="J648" s="7" t="s">
        <v>1838</v>
      </c>
      <c r="K648" s="7" t="s">
        <v>1535</v>
      </c>
      <c r="L648" s="7">
        <v>78802</v>
      </c>
      <c r="M648" s="1">
        <v>41579</v>
      </c>
      <c r="N648" s="4">
        <v>11</v>
      </c>
      <c r="O648" s="2" t="s">
        <v>94</v>
      </c>
      <c r="P648" s="4">
        <v>2013</v>
      </c>
      <c r="Q648" t="str">
        <f>IF(Table1[[#This Row],[UnitsSold]]&gt;3000,"Large",IF(Table1[[#This Row],[UnitsSold]]&gt;1500,"Midium","Small"))</f>
        <v>Midium</v>
      </c>
    </row>
    <row r="649" spans="1:17" x14ac:dyDescent="0.3">
      <c r="A649" s="2" t="s">
        <v>10</v>
      </c>
      <c r="B649" s="2" t="s">
        <v>9</v>
      </c>
      <c r="C649" s="2" t="s">
        <v>101</v>
      </c>
      <c r="D649" s="2" t="s">
        <v>1078</v>
      </c>
      <c r="E649" s="4">
        <v>1575</v>
      </c>
      <c r="F649" s="7" t="s">
        <v>102</v>
      </c>
      <c r="G649" s="7">
        <v>125</v>
      </c>
      <c r="H649" s="7" t="s">
        <v>1536</v>
      </c>
      <c r="I649" s="7" t="s">
        <v>1537</v>
      </c>
      <c r="J649" s="7" t="s">
        <v>1839</v>
      </c>
      <c r="K649" s="7" t="s">
        <v>1538</v>
      </c>
      <c r="L649" s="7">
        <v>19687.5</v>
      </c>
      <c r="M649" s="1">
        <v>41671</v>
      </c>
      <c r="N649" s="4">
        <v>2</v>
      </c>
      <c r="O649" s="2" t="s">
        <v>74</v>
      </c>
      <c r="P649" s="4">
        <v>2014</v>
      </c>
      <c r="Q649" t="str">
        <f>IF(Table1[[#This Row],[UnitsSold]]&gt;3000,"Large",IF(Table1[[#This Row],[UnitsSold]]&gt;1500,"Midium","Small"))</f>
        <v>Midium</v>
      </c>
    </row>
    <row r="650" spans="1:17" x14ac:dyDescent="0.3">
      <c r="A650" s="2" t="s">
        <v>4</v>
      </c>
      <c r="B650" s="2" t="s">
        <v>67</v>
      </c>
      <c r="C650" s="2" t="s">
        <v>101</v>
      </c>
      <c r="D650" s="2" t="s">
        <v>1078</v>
      </c>
      <c r="E650" s="4">
        <v>606</v>
      </c>
      <c r="F650" s="7" t="s">
        <v>102</v>
      </c>
      <c r="G650" s="7">
        <v>20</v>
      </c>
      <c r="H650" s="7" t="s">
        <v>1539</v>
      </c>
      <c r="I650" s="7" t="s">
        <v>1540</v>
      </c>
      <c r="J650" s="7">
        <v>10423.200000000001</v>
      </c>
      <c r="K650" s="7" t="s">
        <v>1541</v>
      </c>
      <c r="L650" s="7">
        <v>4363.2</v>
      </c>
      <c r="M650" s="1">
        <v>41730</v>
      </c>
      <c r="N650" s="4">
        <v>4</v>
      </c>
      <c r="O650" s="2" t="s">
        <v>117</v>
      </c>
      <c r="P650" s="4">
        <v>2014</v>
      </c>
      <c r="Q650" t="str">
        <f>IF(Table1[[#This Row],[UnitsSold]]&gt;3000,"Large",IF(Table1[[#This Row],[UnitsSold]]&gt;1500,"Midium","Small"))</f>
        <v>Small</v>
      </c>
    </row>
    <row r="651" spans="1:17" x14ac:dyDescent="0.3">
      <c r="A651" s="2" t="s">
        <v>57</v>
      </c>
      <c r="B651" s="2" t="s">
        <v>67</v>
      </c>
      <c r="C651" s="2" t="s">
        <v>101</v>
      </c>
      <c r="D651" s="2" t="s">
        <v>1078</v>
      </c>
      <c r="E651" s="4">
        <v>2460</v>
      </c>
      <c r="F651" s="7" t="s">
        <v>102</v>
      </c>
      <c r="G651" s="7">
        <v>300</v>
      </c>
      <c r="H651" s="7" t="s">
        <v>890</v>
      </c>
      <c r="I651" s="7" t="s">
        <v>596</v>
      </c>
      <c r="J651" s="7" t="s">
        <v>1840</v>
      </c>
      <c r="K651" s="7" t="s">
        <v>892</v>
      </c>
      <c r="L651" s="7">
        <v>19680</v>
      </c>
      <c r="M651" s="1">
        <v>41821</v>
      </c>
      <c r="N651" s="4">
        <v>7</v>
      </c>
      <c r="O651" s="2" t="s">
        <v>56</v>
      </c>
      <c r="P651" s="4">
        <v>2014</v>
      </c>
      <c r="Q651" t="str">
        <f>IF(Table1[[#This Row],[UnitsSold]]&gt;3000,"Large",IF(Table1[[#This Row],[UnitsSold]]&gt;1500,"Midium","Small"))</f>
        <v>Midium</v>
      </c>
    </row>
    <row r="652" spans="1:17" x14ac:dyDescent="0.3">
      <c r="A652" s="2" t="s">
        <v>57</v>
      </c>
      <c r="B652" s="2" t="s">
        <v>5</v>
      </c>
      <c r="C652" s="2" t="s">
        <v>101</v>
      </c>
      <c r="D652" s="2" t="s">
        <v>1078</v>
      </c>
      <c r="E652" s="4">
        <v>269</v>
      </c>
      <c r="F652" s="7" t="s">
        <v>102</v>
      </c>
      <c r="G652" s="7">
        <v>300</v>
      </c>
      <c r="H652" s="7" t="s">
        <v>1542</v>
      </c>
      <c r="I652" s="7" t="s">
        <v>1543</v>
      </c>
      <c r="J652" s="7">
        <v>69402</v>
      </c>
      <c r="K652" s="7" t="s">
        <v>1544</v>
      </c>
      <c r="L652" s="7">
        <v>2152</v>
      </c>
      <c r="M652" s="1">
        <v>41548</v>
      </c>
      <c r="N652" s="4">
        <v>10</v>
      </c>
      <c r="O652" s="2" t="s">
        <v>66</v>
      </c>
      <c r="P652" s="4">
        <v>2013</v>
      </c>
      <c r="Q652" t="str">
        <f>IF(Table1[[#This Row],[UnitsSold]]&gt;3000,"Large",IF(Table1[[#This Row],[UnitsSold]]&gt;1500,"Midium","Small"))</f>
        <v>Small</v>
      </c>
    </row>
    <row r="653" spans="1:17" x14ac:dyDescent="0.3">
      <c r="A653" s="2" t="s">
        <v>57</v>
      </c>
      <c r="B653" s="2" t="s">
        <v>6</v>
      </c>
      <c r="C653" s="2" t="s">
        <v>101</v>
      </c>
      <c r="D653" s="2" t="s">
        <v>1078</v>
      </c>
      <c r="E653" s="4">
        <v>2536</v>
      </c>
      <c r="F653" s="7" t="s">
        <v>102</v>
      </c>
      <c r="G653" s="7">
        <v>300</v>
      </c>
      <c r="H653" s="7" t="s">
        <v>1545</v>
      </c>
      <c r="I653" s="7" t="s">
        <v>1546</v>
      </c>
      <c r="J653" s="7" t="s">
        <v>1841</v>
      </c>
      <c r="K653" s="7" t="s">
        <v>1547</v>
      </c>
      <c r="L653" s="7">
        <v>20288</v>
      </c>
      <c r="M653" s="1">
        <v>41579</v>
      </c>
      <c r="N653" s="4">
        <v>11</v>
      </c>
      <c r="O653" s="2" t="s">
        <v>94</v>
      </c>
      <c r="P653" s="4">
        <v>2013</v>
      </c>
      <c r="Q653" t="str">
        <f>IF(Table1[[#This Row],[UnitsSold]]&gt;3000,"Large",IF(Table1[[#This Row],[UnitsSold]]&gt;1500,"Midium","Small"))</f>
        <v>Midium</v>
      </c>
    </row>
    <row r="654" spans="1:17" x14ac:dyDescent="0.3">
      <c r="A654" s="2" t="s">
        <v>4</v>
      </c>
      <c r="B654" s="2" t="s">
        <v>9</v>
      </c>
      <c r="C654" s="2" t="s">
        <v>111</v>
      </c>
      <c r="D654" s="2" t="s">
        <v>1078</v>
      </c>
      <c r="E654" s="4">
        <v>2903</v>
      </c>
      <c r="F654" s="7" t="s">
        <v>112</v>
      </c>
      <c r="G654" s="7">
        <v>7</v>
      </c>
      <c r="H654" s="7" t="s">
        <v>1548</v>
      </c>
      <c r="I654" s="7" t="s">
        <v>1549</v>
      </c>
      <c r="J654" s="7">
        <v>17476.060000000001</v>
      </c>
      <c r="K654" s="7" t="s">
        <v>1550</v>
      </c>
      <c r="L654" s="7">
        <v>2961.06</v>
      </c>
      <c r="M654" s="1">
        <v>41699</v>
      </c>
      <c r="N654" s="4">
        <v>3</v>
      </c>
      <c r="O654" s="2" t="s">
        <v>46</v>
      </c>
      <c r="P654" s="4">
        <v>2014</v>
      </c>
      <c r="Q654" t="str">
        <f>IF(Table1[[#This Row],[UnitsSold]]&gt;3000,"Large",IF(Table1[[#This Row],[UnitsSold]]&gt;1500,"Midium","Small"))</f>
        <v>Midium</v>
      </c>
    </row>
    <row r="655" spans="1:17" x14ac:dyDescent="0.3">
      <c r="A655" s="2" t="s">
        <v>57</v>
      </c>
      <c r="B655" s="2" t="s">
        <v>67</v>
      </c>
      <c r="C655" s="2" t="s">
        <v>111</v>
      </c>
      <c r="D655" s="2" t="s">
        <v>1078</v>
      </c>
      <c r="E655" s="4">
        <v>2541</v>
      </c>
      <c r="F655" s="7" t="s">
        <v>112</v>
      </c>
      <c r="G655" s="7">
        <v>300</v>
      </c>
      <c r="H655" s="7" t="s">
        <v>1551</v>
      </c>
      <c r="I655" s="7" t="s">
        <v>1552</v>
      </c>
      <c r="J655" s="7" t="s">
        <v>1842</v>
      </c>
      <c r="K655" s="7" t="s">
        <v>1553</v>
      </c>
      <c r="L655" s="7">
        <v>20328</v>
      </c>
      <c r="M655" s="1">
        <v>41852</v>
      </c>
      <c r="N655" s="4">
        <v>8</v>
      </c>
      <c r="O655" s="2" t="s">
        <v>60</v>
      </c>
      <c r="P655" s="4">
        <v>2014</v>
      </c>
      <c r="Q655" t="str">
        <f>IF(Table1[[#This Row],[UnitsSold]]&gt;3000,"Large",IF(Table1[[#This Row],[UnitsSold]]&gt;1500,"Midium","Small"))</f>
        <v>Midium</v>
      </c>
    </row>
    <row r="656" spans="1:17" x14ac:dyDescent="0.3">
      <c r="A656" s="2" t="s">
        <v>57</v>
      </c>
      <c r="B656" s="2" t="s">
        <v>5</v>
      </c>
      <c r="C656" s="2" t="s">
        <v>111</v>
      </c>
      <c r="D656" s="2" t="s">
        <v>1078</v>
      </c>
      <c r="E656" s="4">
        <v>269</v>
      </c>
      <c r="F656" s="7" t="s">
        <v>112</v>
      </c>
      <c r="G656" s="7">
        <v>300</v>
      </c>
      <c r="H656" s="7" t="s">
        <v>1542</v>
      </c>
      <c r="I656" s="7" t="s">
        <v>1543</v>
      </c>
      <c r="J656" s="7">
        <v>69402</v>
      </c>
      <c r="K656" s="7" t="s">
        <v>1544</v>
      </c>
      <c r="L656" s="7">
        <v>2152</v>
      </c>
      <c r="M656" s="1">
        <v>41548</v>
      </c>
      <c r="N656" s="4">
        <v>10</v>
      </c>
      <c r="O656" s="2" t="s">
        <v>66</v>
      </c>
      <c r="P656" s="4">
        <v>2013</v>
      </c>
      <c r="Q656" t="str">
        <f>IF(Table1[[#This Row],[UnitsSold]]&gt;3000,"Large",IF(Table1[[#This Row],[UnitsSold]]&gt;1500,"Midium","Small"))</f>
        <v>Small</v>
      </c>
    </row>
    <row r="657" spans="1:17" x14ac:dyDescent="0.3">
      <c r="A657" s="2" t="s">
        <v>57</v>
      </c>
      <c r="B657" s="2" t="s">
        <v>5</v>
      </c>
      <c r="C657" s="2" t="s">
        <v>111</v>
      </c>
      <c r="D657" s="2" t="s">
        <v>1078</v>
      </c>
      <c r="E657" s="4">
        <v>1496</v>
      </c>
      <c r="F657" s="7" t="s">
        <v>112</v>
      </c>
      <c r="G657" s="7">
        <v>300</v>
      </c>
      <c r="H657" s="7" t="s">
        <v>1488</v>
      </c>
      <c r="I657" s="7" t="s">
        <v>1489</v>
      </c>
      <c r="J657" s="7" t="s">
        <v>1831</v>
      </c>
      <c r="K657" s="7" t="s">
        <v>570</v>
      </c>
      <c r="L657" s="7">
        <v>11968</v>
      </c>
      <c r="M657" s="1">
        <v>41913</v>
      </c>
      <c r="N657" s="4">
        <v>10</v>
      </c>
      <c r="O657" s="2" t="s">
        <v>66</v>
      </c>
      <c r="P657" s="4">
        <v>2014</v>
      </c>
      <c r="Q657" t="str">
        <f>IF(Table1[[#This Row],[UnitsSold]]&gt;3000,"Large",IF(Table1[[#This Row],[UnitsSold]]&gt;1500,"Midium","Small"))</f>
        <v>Small</v>
      </c>
    </row>
    <row r="658" spans="1:17" x14ac:dyDescent="0.3">
      <c r="A658" s="2" t="s">
        <v>57</v>
      </c>
      <c r="B658" s="2" t="s">
        <v>67</v>
      </c>
      <c r="C658" s="2" t="s">
        <v>111</v>
      </c>
      <c r="D658" s="2" t="s">
        <v>1078</v>
      </c>
      <c r="E658" s="4">
        <v>1010</v>
      </c>
      <c r="F658" s="7" t="s">
        <v>112</v>
      </c>
      <c r="G658" s="7">
        <v>300</v>
      </c>
      <c r="H658" s="7" t="s">
        <v>1490</v>
      </c>
      <c r="I658" s="7" t="s">
        <v>1491</v>
      </c>
      <c r="J658" s="7" t="s">
        <v>1832</v>
      </c>
      <c r="K658" s="7" t="s">
        <v>1492</v>
      </c>
      <c r="L658" s="7">
        <v>8080</v>
      </c>
      <c r="M658" s="1">
        <v>41913</v>
      </c>
      <c r="N658" s="4">
        <v>10</v>
      </c>
      <c r="O658" s="2" t="s">
        <v>66</v>
      </c>
      <c r="P658" s="4">
        <v>2014</v>
      </c>
      <c r="Q658" t="str">
        <f>IF(Table1[[#This Row],[UnitsSold]]&gt;3000,"Large",IF(Table1[[#This Row],[UnitsSold]]&gt;1500,"Midium","Small"))</f>
        <v>Small</v>
      </c>
    </row>
    <row r="659" spans="1:17" x14ac:dyDescent="0.3">
      <c r="A659" s="2" t="s">
        <v>4</v>
      </c>
      <c r="B659" s="2" t="s">
        <v>8</v>
      </c>
      <c r="C659" s="2" t="s">
        <v>111</v>
      </c>
      <c r="D659" s="2" t="s">
        <v>1078</v>
      </c>
      <c r="E659" s="4">
        <v>1281</v>
      </c>
      <c r="F659" s="7" t="s">
        <v>112</v>
      </c>
      <c r="G659" s="7">
        <v>350</v>
      </c>
      <c r="H659" s="7" t="s">
        <v>1554</v>
      </c>
      <c r="I659" s="7" t="s">
        <v>1555</v>
      </c>
      <c r="J659" s="7" t="s">
        <v>1843</v>
      </c>
      <c r="K659" s="7" t="s">
        <v>1556</v>
      </c>
      <c r="L659" s="7">
        <v>52521</v>
      </c>
      <c r="M659" s="1">
        <v>41609</v>
      </c>
      <c r="N659" s="4">
        <v>12</v>
      </c>
      <c r="O659" s="2" t="s">
        <v>41</v>
      </c>
      <c r="P659" s="4">
        <v>2013</v>
      </c>
      <c r="Q659" t="str">
        <f>IF(Table1[[#This Row],[UnitsSold]]&gt;3000,"Large",IF(Table1[[#This Row],[UnitsSold]]&gt;1500,"Midium","Small"))</f>
        <v>Small</v>
      </c>
    </row>
    <row r="660" spans="1:17" x14ac:dyDescent="0.3">
      <c r="A660" s="2" t="s">
        <v>57</v>
      </c>
      <c r="B660" s="2" t="s">
        <v>5</v>
      </c>
      <c r="C660" s="2" t="s">
        <v>122</v>
      </c>
      <c r="D660" s="2" t="s">
        <v>1078</v>
      </c>
      <c r="E660" s="4">
        <v>888</v>
      </c>
      <c r="F660" s="7" t="s">
        <v>123</v>
      </c>
      <c r="G660" s="7">
        <v>300</v>
      </c>
      <c r="H660" s="7" t="s">
        <v>1557</v>
      </c>
      <c r="I660" s="7" t="s">
        <v>1558</v>
      </c>
      <c r="J660" s="7" t="s">
        <v>1844</v>
      </c>
      <c r="K660" s="7" t="s">
        <v>1559</v>
      </c>
      <c r="L660" s="7">
        <v>7104</v>
      </c>
      <c r="M660" s="1">
        <v>41699</v>
      </c>
      <c r="N660" s="4">
        <v>3</v>
      </c>
      <c r="O660" s="2" t="s">
        <v>46</v>
      </c>
      <c r="P660" s="4">
        <v>2014</v>
      </c>
      <c r="Q660" t="str">
        <f>IF(Table1[[#This Row],[UnitsSold]]&gt;3000,"Large",IF(Table1[[#This Row],[UnitsSold]]&gt;1500,"Midium","Small"))</f>
        <v>Small</v>
      </c>
    </row>
    <row r="661" spans="1:17" x14ac:dyDescent="0.3">
      <c r="A661" s="2" t="s">
        <v>10</v>
      </c>
      <c r="B661" s="2" t="s">
        <v>67</v>
      </c>
      <c r="C661" s="2" t="s">
        <v>122</v>
      </c>
      <c r="D661" s="2" t="s">
        <v>1078</v>
      </c>
      <c r="E661" s="4">
        <v>2844</v>
      </c>
      <c r="F661" s="7" t="s">
        <v>123</v>
      </c>
      <c r="G661" s="7">
        <v>125</v>
      </c>
      <c r="H661" s="7" t="s">
        <v>1560</v>
      </c>
      <c r="I661" s="7" t="s">
        <v>1561</v>
      </c>
      <c r="J661" s="7" t="s">
        <v>1845</v>
      </c>
      <c r="K661" s="7" t="s">
        <v>1562</v>
      </c>
      <c r="L661" s="7">
        <v>35550</v>
      </c>
      <c r="M661" s="1">
        <v>41760</v>
      </c>
      <c r="N661" s="4">
        <v>5</v>
      </c>
      <c r="O661" s="2" t="s">
        <v>145</v>
      </c>
      <c r="P661" s="4">
        <v>2014</v>
      </c>
      <c r="Q661" t="str">
        <f>IF(Table1[[#This Row],[UnitsSold]]&gt;3000,"Large",IF(Table1[[#This Row],[UnitsSold]]&gt;1500,"Midium","Small"))</f>
        <v>Midium</v>
      </c>
    </row>
    <row r="662" spans="1:17" x14ac:dyDescent="0.3">
      <c r="A662" s="2" t="s">
        <v>47</v>
      </c>
      <c r="B662" s="2" t="s">
        <v>8</v>
      </c>
      <c r="C662" s="2" t="s">
        <v>122</v>
      </c>
      <c r="D662" s="2" t="s">
        <v>1078</v>
      </c>
      <c r="E662" s="4">
        <v>2475</v>
      </c>
      <c r="F662" s="7" t="s">
        <v>123</v>
      </c>
      <c r="G662" s="7">
        <v>12</v>
      </c>
      <c r="H662" s="7" t="s">
        <v>1563</v>
      </c>
      <c r="I662" s="7" t="s">
        <v>1564</v>
      </c>
      <c r="J662" s="7">
        <v>25542</v>
      </c>
      <c r="K662" s="7" t="s">
        <v>1565</v>
      </c>
      <c r="L662" s="7">
        <v>18117</v>
      </c>
      <c r="M662" s="1">
        <v>41852</v>
      </c>
      <c r="N662" s="4">
        <v>8</v>
      </c>
      <c r="O662" s="2" t="s">
        <v>60</v>
      </c>
      <c r="P662" s="4">
        <v>2014</v>
      </c>
      <c r="Q662" t="str">
        <f>IF(Table1[[#This Row],[UnitsSold]]&gt;3000,"Large",IF(Table1[[#This Row],[UnitsSold]]&gt;1500,"Midium","Small"))</f>
        <v>Midium</v>
      </c>
    </row>
    <row r="663" spans="1:17" x14ac:dyDescent="0.3">
      <c r="A663" s="2" t="s">
        <v>7</v>
      </c>
      <c r="B663" s="2" t="s">
        <v>5</v>
      </c>
      <c r="C663" s="2" t="s">
        <v>122</v>
      </c>
      <c r="D663" s="2" t="s">
        <v>1078</v>
      </c>
      <c r="E663" s="4">
        <v>1743</v>
      </c>
      <c r="F663" s="7" t="s">
        <v>123</v>
      </c>
      <c r="G663" s="7">
        <v>15</v>
      </c>
      <c r="H663" s="7" t="s">
        <v>718</v>
      </c>
      <c r="I663" s="7" t="s">
        <v>1518</v>
      </c>
      <c r="J663" s="7">
        <v>22484.7</v>
      </c>
      <c r="K663" s="7" t="s">
        <v>720</v>
      </c>
      <c r="L663" s="7">
        <v>5054.7</v>
      </c>
      <c r="M663" s="1">
        <v>41548</v>
      </c>
      <c r="N663" s="4">
        <v>10</v>
      </c>
      <c r="O663" s="2" t="s">
        <v>66</v>
      </c>
      <c r="P663" s="4">
        <v>2013</v>
      </c>
      <c r="Q663" t="str">
        <f>IF(Table1[[#This Row],[UnitsSold]]&gt;3000,"Large",IF(Table1[[#This Row],[UnitsSold]]&gt;1500,"Midium","Small"))</f>
        <v>Midium</v>
      </c>
    </row>
    <row r="664" spans="1:17" x14ac:dyDescent="0.3">
      <c r="A664" s="2" t="s">
        <v>47</v>
      </c>
      <c r="B664" s="2" t="s">
        <v>67</v>
      </c>
      <c r="C664" s="2" t="s">
        <v>122</v>
      </c>
      <c r="D664" s="2" t="s">
        <v>1078</v>
      </c>
      <c r="E664" s="4">
        <v>2914</v>
      </c>
      <c r="F664" s="7" t="s">
        <v>123</v>
      </c>
      <c r="G664" s="7">
        <v>12</v>
      </c>
      <c r="H664" s="7" t="s">
        <v>1519</v>
      </c>
      <c r="I664" s="7" t="s">
        <v>1520</v>
      </c>
      <c r="J664" s="7">
        <v>30072.48</v>
      </c>
      <c r="K664" s="7" t="s">
        <v>1521</v>
      </c>
      <c r="L664" s="7">
        <v>21330.48</v>
      </c>
      <c r="M664" s="1">
        <v>41913</v>
      </c>
      <c r="N664" s="4">
        <v>10</v>
      </c>
      <c r="O664" s="2" t="s">
        <v>66</v>
      </c>
      <c r="P664" s="4">
        <v>2014</v>
      </c>
      <c r="Q664" t="str">
        <f>IF(Table1[[#This Row],[UnitsSold]]&gt;3000,"Large",IF(Table1[[#This Row],[UnitsSold]]&gt;1500,"Midium","Small"))</f>
        <v>Midium</v>
      </c>
    </row>
    <row r="665" spans="1:17" x14ac:dyDescent="0.3">
      <c r="A665" s="2" t="s">
        <v>4</v>
      </c>
      <c r="B665" s="2" t="s">
        <v>8</v>
      </c>
      <c r="C665" s="2" t="s">
        <v>122</v>
      </c>
      <c r="D665" s="2" t="s">
        <v>1078</v>
      </c>
      <c r="E665" s="4">
        <v>1731</v>
      </c>
      <c r="F665" s="7" t="s">
        <v>123</v>
      </c>
      <c r="G665" s="7">
        <v>7</v>
      </c>
      <c r="H665" s="7" t="s">
        <v>1522</v>
      </c>
      <c r="I665" s="7" t="s">
        <v>1523</v>
      </c>
      <c r="J665" s="7">
        <v>10420.620000000001</v>
      </c>
      <c r="K665" s="7" t="s">
        <v>1524</v>
      </c>
      <c r="L665" s="7">
        <v>1765.62</v>
      </c>
      <c r="M665" s="1">
        <v>41913</v>
      </c>
      <c r="N665" s="4">
        <v>10</v>
      </c>
      <c r="O665" s="2" t="s">
        <v>66</v>
      </c>
      <c r="P665" s="4">
        <v>2014</v>
      </c>
      <c r="Q665" t="str">
        <f>IF(Table1[[#This Row],[UnitsSold]]&gt;3000,"Large",IF(Table1[[#This Row],[UnitsSold]]&gt;1500,"Midium","Small"))</f>
        <v>Midium</v>
      </c>
    </row>
    <row r="666" spans="1:17" x14ac:dyDescent="0.3">
      <c r="A666" s="2" t="s">
        <v>4</v>
      </c>
      <c r="B666" s="2" t="s">
        <v>9</v>
      </c>
      <c r="C666" s="2" t="s">
        <v>122</v>
      </c>
      <c r="D666" s="2" t="s">
        <v>1078</v>
      </c>
      <c r="E666" s="4">
        <v>1727</v>
      </c>
      <c r="F666" s="7" t="s">
        <v>123</v>
      </c>
      <c r="G666" s="7">
        <v>7</v>
      </c>
      <c r="H666" s="7" t="s">
        <v>1511</v>
      </c>
      <c r="I666" s="7" t="s">
        <v>1512</v>
      </c>
      <c r="J666" s="7">
        <v>10396.540000000001</v>
      </c>
      <c r="K666" s="7" t="s">
        <v>1513</v>
      </c>
      <c r="L666" s="7">
        <v>1761.54</v>
      </c>
      <c r="M666" s="1">
        <v>41548</v>
      </c>
      <c r="N666" s="4">
        <v>10</v>
      </c>
      <c r="O666" s="2" t="s">
        <v>66</v>
      </c>
      <c r="P666" s="4">
        <v>2013</v>
      </c>
      <c r="Q666" t="str">
        <f>IF(Table1[[#This Row],[UnitsSold]]&gt;3000,"Large",IF(Table1[[#This Row],[UnitsSold]]&gt;1500,"Midium","Small"))</f>
        <v>Midium</v>
      </c>
    </row>
    <row r="667" spans="1:17" x14ac:dyDescent="0.3">
      <c r="A667" s="2" t="s">
        <v>7</v>
      </c>
      <c r="B667" s="2" t="s">
        <v>9</v>
      </c>
      <c r="C667" s="2" t="s">
        <v>122</v>
      </c>
      <c r="D667" s="2" t="s">
        <v>1078</v>
      </c>
      <c r="E667" s="4">
        <v>1870</v>
      </c>
      <c r="F667" s="7" t="s">
        <v>123</v>
      </c>
      <c r="G667" s="7">
        <v>15</v>
      </c>
      <c r="H667" s="7" t="s">
        <v>1247</v>
      </c>
      <c r="I667" s="7" t="s">
        <v>1566</v>
      </c>
      <c r="J667" s="7">
        <v>24123</v>
      </c>
      <c r="K667" s="7" t="s">
        <v>571</v>
      </c>
      <c r="L667" s="7">
        <v>5423</v>
      </c>
      <c r="M667" s="1">
        <v>41579</v>
      </c>
      <c r="N667" s="4">
        <v>11</v>
      </c>
      <c r="O667" s="2" t="s">
        <v>94</v>
      </c>
      <c r="P667" s="4">
        <v>2013</v>
      </c>
      <c r="Q667" t="str">
        <f>IF(Table1[[#This Row],[UnitsSold]]&gt;3000,"Large",IF(Table1[[#This Row],[UnitsSold]]&gt;1500,"Midium","Small"))</f>
        <v>Midium</v>
      </c>
    </row>
    <row r="668" spans="1:17" x14ac:dyDescent="0.3">
      <c r="A668" s="2" t="s">
        <v>10</v>
      </c>
      <c r="B668" s="2" t="s">
        <v>8</v>
      </c>
      <c r="C668" s="2" t="s">
        <v>23</v>
      </c>
      <c r="D668" s="2" t="s">
        <v>1078</v>
      </c>
      <c r="E668" s="4">
        <v>1174</v>
      </c>
      <c r="F668" s="7" t="s">
        <v>25</v>
      </c>
      <c r="G668" s="7">
        <v>125</v>
      </c>
      <c r="H668" s="7" t="s">
        <v>1567</v>
      </c>
      <c r="I668" s="7" t="s">
        <v>1568</v>
      </c>
      <c r="J668" s="7" t="s">
        <v>1846</v>
      </c>
      <c r="K668" s="7" t="s">
        <v>1569</v>
      </c>
      <c r="L668" s="7">
        <v>16142.5</v>
      </c>
      <c r="M668" s="1">
        <v>41852</v>
      </c>
      <c r="N668" s="4">
        <v>8</v>
      </c>
      <c r="O668" s="2" t="s">
        <v>60</v>
      </c>
      <c r="P668" s="4">
        <v>2014</v>
      </c>
      <c r="Q668" t="str">
        <f>IF(Table1[[#This Row],[UnitsSold]]&gt;3000,"Large",IF(Table1[[#This Row],[UnitsSold]]&gt;1500,"Midium","Small"))</f>
        <v>Small</v>
      </c>
    </row>
    <row r="669" spans="1:17" x14ac:dyDescent="0.3">
      <c r="A669" s="2" t="s">
        <v>10</v>
      </c>
      <c r="B669" s="2" t="s">
        <v>6</v>
      </c>
      <c r="C669" s="2" t="s">
        <v>23</v>
      </c>
      <c r="D669" s="2" t="s">
        <v>1078</v>
      </c>
      <c r="E669" s="4">
        <v>2767</v>
      </c>
      <c r="F669" s="7" t="s">
        <v>25</v>
      </c>
      <c r="G669" s="7">
        <v>125</v>
      </c>
      <c r="H669" s="7" t="s">
        <v>1570</v>
      </c>
      <c r="I669" s="7" t="s">
        <v>1571</v>
      </c>
      <c r="J669" s="7" t="s">
        <v>1847</v>
      </c>
      <c r="K669" s="7" t="s">
        <v>1572</v>
      </c>
      <c r="L669" s="7">
        <v>38046.25</v>
      </c>
      <c r="M669" s="1">
        <v>41852</v>
      </c>
      <c r="N669" s="4">
        <v>8</v>
      </c>
      <c r="O669" s="2" t="s">
        <v>60</v>
      </c>
      <c r="P669" s="4">
        <v>2014</v>
      </c>
      <c r="Q669" t="str">
        <f>IF(Table1[[#This Row],[UnitsSold]]&gt;3000,"Large",IF(Table1[[#This Row],[UnitsSold]]&gt;1500,"Midium","Small"))</f>
        <v>Midium</v>
      </c>
    </row>
    <row r="670" spans="1:17" x14ac:dyDescent="0.3">
      <c r="A670" s="2" t="s">
        <v>10</v>
      </c>
      <c r="B670" s="2" t="s">
        <v>6</v>
      </c>
      <c r="C670" s="2" t="s">
        <v>23</v>
      </c>
      <c r="D670" s="2" t="s">
        <v>1078</v>
      </c>
      <c r="E670" s="4">
        <v>1085</v>
      </c>
      <c r="F670" s="7" t="s">
        <v>25</v>
      </c>
      <c r="G670" s="7">
        <v>125</v>
      </c>
      <c r="H670" s="7" t="s">
        <v>1573</v>
      </c>
      <c r="I670" s="7" t="s">
        <v>1574</v>
      </c>
      <c r="J670" s="7" t="s">
        <v>1848</v>
      </c>
      <c r="K670" s="7" t="s">
        <v>1575</v>
      </c>
      <c r="L670" s="7">
        <v>14918.75</v>
      </c>
      <c r="M670" s="1">
        <v>41913</v>
      </c>
      <c r="N670" s="4">
        <v>10</v>
      </c>
      <c r="O670" s="2" t="s">
        <v>66</v>
      </c>
      <c r="P670" s="4">
        <v>2014</v>
      </c>
      <c r="Q670" t="str">
        <f>IF(Table1[[#This Row],[UnitsSold]]&gt;3000,"Large",IF(Table1[[#This Row],[UnitsSold]]&gt;1500,"Midium","Small"))</f>
        <v>Small</v>
      </c>
    </row>
    <row r="671" spans="1:17" x14ac:dyDescent="0.3">
      <c r="A671" s="2" t="s">
        <v>57</v>
      </c>
      <c r="B671" s="2" t="s">
        <v>9</v>
      </c>
      <c r="C671" s="2" t="s">
        <v>42</v>
      </c>
      <c r="D671" s="2" t="s">
        <v>1078</v>
      </c>
      <c r="E671" s="4">
        <v>546</v>
      </c>
      <c r="F671" s="7" t="s">
        <v>43</v>
      </c>
      <c r="G671" s="7">
        <v>300</v>
      </c>
      <c r="H671" s="7" t="s">
        <v>1576</v>
      </c>
      <c r="I671" s="7" t="s">
        <v>1577</v>
      </c>
      <c r="J671" s="7" t="s">
        <v>1849</v>
      </c>
      <c r="K671" s="7" t="s">
        <v>1578</v>
      </c>
      <c r="L671" s="7">
        <v>2730</v>
      </c>
      <c r="M671" s="1">
        <v>41913</v>
      </c>
      <c r="N671" s="4">
        <v>10</v>
      </c>
      <c r="O671" s="2" t="s">
        <v>66</v>
      </c>
      <c r="P671" s="4">
        <v>2014</v>
      </c>
      <c r="Q671" t="str">
        <f>IF(Table1[[#This Row],[UnitsSold]]&gt;3000,"Large",IF(Table1[[#This Row],[UnitsSold]]&gt;1500,"Midium","Small"))</f>
        <v>Small</v>
      </c>
    </row>
    <row r="672" spans="1:17" x14ac:dyDescent="0.3">
      <c r="A672" s="2" t="s">
        <v>4</v>
      </c>
      <c r="B672" s="2" t="s">
        <v>6</v>
      </c>
      <c r="C672" s="2" t="s">
        <v>70</v>
      </c>
      <c r="D672" s="2" t="s">
        <v>1078</v>
      </c>
      <c r="E672" s="4">
        <v>1158</v>
      </c>
      <c r="F672" s="7" t="s">
        <v>71</v>
      </c>
      <c r="G672" s="7">
        <v>20</v>
      </c>
      <c r="H672" s="7" t="s">
        <v>1579</v>
      </c>
      <c r="I672" s="7" t="s">
        <v>1580</v>
      </c>
      <c r="J672" s="7">
        <v>19686</v>
      </c>
      <c r="K672" s="7" t="s">
        <v>1581</v>
      </c>
      <c r="L672" s="7">
        <v>8106</v>
      </c>
      <c r="M672" s="1">
        <v>41699</v>
      </c>
      <c r="N672" s="4">
        <v>3</v>
      </c>
      <c r="O672" s="2" t="s">
        <v>46</v>
      </c>
      <c r="P672" s="4">
        <v>2014</v>
      </c>
      <c r="Q672" t="str">
        <f>IF(Table1[[#This Row],[UnitsSold]]&gt;3000,"Large",IF(Table1[[#This Row],[UnitsSold]]&gt;1500,"Midium","Small"))</f>
        <v>Small</v>
      </c>
    </row>
    <row r="673" spans="1:17" x14ac:dyDescent="0.3">
      <c r="A673" s="2" t="s">
        <v>7</v>
      </c>
      <c r="B673" s="2" t="s">
        <v>5</v>
      </c>
      <c r="C673" s="2" t="s">
        <v>70</v>
      </c>
      <c r="D673" s="2" t="s">
        <v>1078</v>
      </c>
      <c r="E673" s="4">
        <v>1614</v>
      </c>
      <c r="F673" s="7" t="s">
        <v>71</v>
      </c>
      <c r="G673" s="7">
        <v>15</v>
      </c>
      <c r="H673" s="7" t="s">
        <v>1582</v>
      </c>
      <c r="I673" s="7" t="s">
        <v>1583</v>
      </c>
      <c r="J673" s="7">
        <v>20578.5</v>
      </c>
      <c r="K673" s="7" t="s">
        <v>1584</v>
      </c>
      <c r="L673" s="7">
        <v>4438.5</v>
      </c>
      <c r="M673" s="1">
        <v>41730</v>
      </c>
      <c r="N673" s="4">
        <v>4</v>
      </c>
      <c r="O673" s="2" t="s">
        <v>117</v>
      </c>
      <c r="P673" s="4">
        <v>2014</v>
      </c>
      <c r="Q673" t="str">
        <f>IF(Table1[[#This Row],[UnitsSold]]&gt;3000,"Large",IF(Table1[[#This Row],[UnitsSold]]&gt;1500,"Midium","Small"))</f>
        <v>Midium</v>
      </c>
    </row>
    <row r="674" spans="1:17" x14ac:dyDescent="0.3">
      <c r="A674" s="2" t="s">
        <v>4</v>
      </c>
      <c r="B674" s="2" t="s">
        <v>9</v>
      </c>
      <c r="C674" s="2" t="s">
        <v>70</v>
      </c>
      <c r="D674" s="2" t="s">
        <v>1078</v>
      </c>
      <c r="E674" s="4">
        <v>2535</v>
      </c>
      <c r="F674" s="7" t="s">
        <v>71</v>
      </c>
      <c r="G674" s="7">
        <v>7</v>
      </c>
      <c r="H674" s="7" t="s">
        <v>1585</v>
      </c>
      <c r="I674" s="7" t="s">
        <v>1586</v>
      </c>
      <c r="J674" s="7">
        <v>15083.25</v>
      </c>
      <c r="K674" s="7" t="s">
        <v>1587</v>
      </c>
      <c r="L674" s="7">
        <v>2408.25</v>
      </c>
      <c r="M674" s="1">
        <v>41730</v>
      </c>
      <c r="N674" s="4">
        <v>4</v>
      </c>
      <c r="O674" s="2" t="s">
        <v>117</v>
      </c>
      <c r="P674" s="4">
        <v>2014</v>
      </c>
      <c r="Q674" t="str">
        <f>IF(Table1[[#This Row],[UnitsSold]]&gt;3000,"Large",IF(Table1[[#This Row],[UnitsSold]]&gt;1500,"Midium","Small"))</f>
        <v>Midium</v>
      </c>
    </row>
    <row r="675" spans="1:17" x14ac:dyDescent="0.3">
      <c r="A675" s="2" t="s">
        <v>4</v>
      </c>
      <c r="B675" s="2" t="s">
        <v>9</v>
      </c>
      <c r="C675" s="2" t="s">
        <v>70</v>
      </c>
      <c r="D675" s="2" t="s">
        <v>1078</v>
      </c>
      <c r="E675" s="4">
        <v>2851</v>
      </c>
      <c r="F675" s="7" t="s">
        <v>71</v>
      </c>
      <c r="G675" s="7">
        <v>350</v>
      </c>
      <c r="H675" s="7" t="s">
        <v>1588</v>
      </c>
      <c r="I675" s="7" t="s">
        <v>1589</v>
      </c>
      <c r="J675" s="7" t="s">
        <v>1850</v>
      </c>
      <c r="K675" s="7" t="s">
        <v>1590</v>
      </c>
      <c r="L675" s="7" t="s">
        <v>1898</v>
      </c>
      <c r="M675" s="1">
        <v>41760</v>
      </c>
      <c r="N675" s="4">
        <v>5</v>
      </c>
      <c r="O675" s="2" t="s">
        <v>145</v>
      </c>
      <c r="P675" s="4">
        <v>2014</v>
      </c>
      <c r="Q675" t="str">
        <f>IF(Table1[[#This Row],[UnitsSold]]&gt;3000,"Large",IF(Table1[[#This Row],[UnitsSold]]&gt;1500,"Midium","Small"))</f>
        <v>Midium</v>
      </c>
    </row>
    <row r="676" spans="1:17" x14ac:dyDescent="0.3">
      <c r="A676" s="2" t="s">
        <v>7</v>
      </c>
      <c r="B676" s="2" t="s">
        <v>5</v>
      </c>
      <c r="C676" s="2" t="s">
        <v>70</v>
      </c>
      <c r="D676" s="2" t="s">
        <v>1078</v>
      </c>
      <c r="E676" s="4">
        <v>2559</v>
      </c>
      <c r="F676" s="7" t="s">
        <v>71</v>
      </c>
      <c r="G676" s="7">
        <v>15</v>
      </c>
      <c r="H676" s="7" t="s">
        <v>1591</v>
      </c>
      <c r="I676" s="7" t="s">
        <v>1592</v>
      </c>
      <c r="J676" s="7">
        <v>32627.25</v>
      </c>
      <c r="K676" s="7" t="s">
        <v>1134</v>
      </c>
      <c r="L676" s="7">
        <v>7037.25</v>
      </c>
      <c r="M676" s="1">
        <v>41852</v>
      </c>
      <c r="N676" s="4">
        <v>8</v>
      </c>
      <c r="O676" s="2" t="s">
        <v>60</v>
      </c>
      <c r="P676" s="4">
        <v>2014</v>
      </c>
      <c r="Q676" t="str">
        <f>IF(Table1[[#This Row],[UnitsSold]]&gt;3000,"Large",IF(Table1[[#This Row],[UnitsSold]]&gt;1500,"Midium","Small"))</f>
        <v>Midium</v>
      </c>
    </row>
    <row r="677" spans="1:17" x14ac:dyDescent="0.3">
      <c r="A677" s="2" t="s">
        <v>4</v>
      </c>
      <c r="B677" s="2" t="s">
        <v>67</v>
      </c>
      <c r="C677" s="2" t="s">
        <v>70</v>
      </c>
      <c r="D677" s="2" t="s">
        <v>1078</v>
      </c>
      <c r="E677" s="4">
        <v>267</v>
      </c>
      <c r="F677" s="7" t="s">
        <v>71</v>
      </c>
      <c r="G677" s="7">
        <v>20</v>
      </c>
      <c r="H677" s="7" t="s">
        <v>1593</v>
      </c>
      <c r="I677" s="7" t="s">
        <v>1481</v>
      </c>
      <c r="J677" s="7">
        <v>4539</v>
      </c>
      <c r="K677" s="7" t="s">
        <v>1594</v>
      </c>
      <c r="L677" s="7">
        <v>1869</v>
      </c>
      <c r="M677" s="1">
        <v>41548</v>
      </c>
      <c r="N677" s="4">
        <v>10</v>
      </c>
      <c r="O677" s="2" t="s">
        <v>66</v>
      </c>
      <c r="P677" s="4">
        <v>2013</v>
      </c>
      <c r="Q677" t="str">
        <f>IF(Table1[[#This Row],[UnitsSold]]&gt;3000,"Large",IF(Table1[[#This Row],[UnitsSold]]&gt;1500,"Midium","Small"))</f>
        <v>Small</v>
      </c>
    </row>
    <row r="678" spans="1:17" x14ac:dyDescent="0.3">
      <c r="A678" s="2" t="s">
        <v>10</v>
      </c>
      <c r="B678" s="2" t="s">
        <v>6</v>
      </c>
      <c r="C678" s="2" t="s">
        <v>70</v>
      </c>
      <c r="D678" s="2" t="s">
        <v>1078</v>
      </c>
      <c r="E678" s="4">
        <v>1085</v>
      </c>
      <c r="F678" s="7" t="s">
        <v>71</v>
      </c>
      <c r="G678" s="7">
        <v>125</v>
      </c>
      <c r="H678" s="7" t="s">
        <v>1573</v>
      </c>
      <c r="I678" s="7" t="s">
        <v>1574</v>
      </c>
      <c r="J678" s="7" t="s">
        <v>1848</v>
      </c>
      <c r="K678" s="7" t="s">
        <v>1575</v>
      </c>
      <c r="L678" s="7">
        <v>14918.75</v>
      </c>
      <c r="M678" s="1">
        <v>41913</v>
      </c>
      <c r="N678" s="4">
        <v>10</v>
      </c>
      <c r="O678" s="2" t="s">
        <v>66</v>
      </c>
      <c r="P678" s="4">
        <v>2014</v>
      </c>
      <c r="Q678" t="str">
        <f>IF(Table1[[#This Row],[UnitsSold]]&gt;3000,"Large",IF(Table1[[#This Row],[UnitsSold]]&gt;1500,"Midium","Small"))</f>
        <v>Small</v>
      </c>
    </row>
    <row r="679" spans="1:17" x14ac:dyDescent="0.3">
      <c r="A679" s="2" t="s">
        <v>7</v>
      </c>
      <c r="B679" s="2" t="s">
        <v>6</v>
      </c>
      <c r="C679" s="2" t="s">
        <v>70</v>
      </c>
      <c r="D679" s="2" t="s">
        <v>1078</v>
      </c>
      <c r="E679" s="4">
        <v>1175</v>
      </c>
      <c r="F679" s="7" t="s">
        <v>71</v>
      </c>
      <c r="G679" s="7">
        <v>15</v>
      </c>
      <c r="H679" s="7" t="s">
        <v>1595</v>
      </c>
      <c r="I679" s="7" t="s">
        <v>1596</v>
      </c>
      <c r="J679" s="7">
        <v>14981.25</v>
      </c>
      <c r="K679" s="7" t="s">
        <v>1597</v>
      </c>
      <c r="L679" s="7">
        <v>3231.25</v>
      </c>
      <c r="M679" s="1">
        <v>41913</v>
      </c>
      <c r="N679" s="4">
        <v>10</v>
      </c>
      <c r="O679" s="2" t="s">
        <v>66</v>
      </c>
      <c r="P679" s="4">
        <v>2014</v>
      </c>
      <c r="Q679" t="str">
        <f>IF(Table1[[#This Row],[UnitsSold]]&gt;3000,"Large",IF(Table1[[#This Row],[UnitsSold]]&gt;1500,"Midium","Small"))</f>
        <v>Small</v>
      </c>
    </row>
    <row r="680" spans="1:17" x14ac:dyDescent="0.3">
      <c r="A680" s="2" t="s">
        <v>4</v>
      </c>
      <c r="B680" s="2" t="s">
        <v>67</v>
      </c>
      <c r="C680" s="2" t="s">
        <v>70</v>
      </c>
      <c r="D680" s="2" t="s">
        <v>1078</v>
      </c>
      <c r="E680" s="4">
        <v>2007</v>
      </c>
      <c r="F680" s="7" t="s">
        <v>71</v>
      </c>
      <c r="G680" s="7">
        <v>350</v>
      </c>
      <c r="H680" s="7" t="s">
        <v>1598</v>
      </c>
      <c r="I680" s="7" t="s">
        <v>1599</v>
      </c>
      <c r="J680" s="7" t="s">
        <v>1851</v>
      </c>
      <c r="K680" s="7" t="s">
        <v>1600</v>
      </c>
      <c r="L680" s="7">
        <v>75262.5</v>
      </c>
      <c r="M680" s="1">
        <v>41579</v>
      </c>
      <c r="N680" s="4">
        <v>11</v>
      </c>
      <c r="O680" s="2" t="s">
        <v>94</v>
      </c>
      <c r="P680" s="4">
        <v>2013</v>
      </c>
      <c r="Q680" t="str">
        <f>IF(Table1[[#This Row],[UnitsSold]]&gt;3000,"Large",IF(Table1[[#This Row],[UnitsSold]]&gt;1500,"Midium","Small"))</f>
        <v>Midium</v>
      </c>
    </row>
    <row r="681" spans="1:17" x14ac:dyDescent="0.3">
      <c r="A681" s="2" t="s">
        <v>4</v>
      </c>
      <c r="B681" s="2" t="s">
        <v>9</v>
      </c>
      <c r="C681" s="2" t="s">
        <v>70</v>
      </c>
      <c r="D681" s="2" t="s">
        <v>1078</v>
      </c>
      <c r="E681" s="4">
        <v>2151</v>
      </c>
      <c r="F681" s="7" t="s">
        <v>71</v>
      </c>
      <c r="G681" s="7">
        <v>350</v>
      </c>
      <c r="H681" s="7" t="s">
        <v>1601</v>
      </c>
      <c r="I681" s="7" t="s">
        <v>1602</v>
      </c>
      <c r="J681" s="7" t="s">
        <v>1852</v>
      </c>
      <c r="K681" s="7" t="s">
        <v>1603</v>
      </c>
      <c r="L681" s="7">
        <v>80662.5</v>
      </c>
      <c r="M681" s="1">
        <v>41579</v>
      </c>
      <c r="N681" s="4">
        <v>11</v>
      </c>
      <c r="O681" s="2" t="s">
        <v>94</v>
      </c>
      <c r="P681" s="4">
        <v>2013</v>
      </c>
      <c r="Q681" t="str">
        <f>IF(Table1[[#This Row],[UnitsSold]]&gt;3000,"Large",IF(Table1[[#This Row],[UnitsSold]]&gt;1500,"Midium","Small"))</f>
        <v>Midium</v>
      </c>
    </row>
    <row r="682" spans="1:17" x14ac:dyDescent="0.3">
      <c r="A682" s="2" t="s">
        <v>47</v>
      </c>
      <c r="B682" s="2" t="s">
        <v>67</v>
      </c>
      <c r="C682" s="2" t="s">
        <v>70</v>
      </c>
      <c r="D682" s="2" t="s">
        <v>1078</v>
      </c>
      <c r="E682" s="4">
        <v>914</v>
      </c>
      <c r="F682" s="7" t="s">
        <v>71</v>
      </c>
      <c r="G682" s="7">
        <v>12</v>
      </c>
      <c r="H682" s="7" t="s">
        <v>1604</v>
      </c>
      <c r="I682" s="7" t="s">
        <v>1605</v>
      </c>
      <c r="J682" s="7">
        <v>9322.7999999999993</v>
      </c>
      <c r="K682" s="7" t="s">
        <v>1606</v>
      </c>
      <c r="L682" s="7">
        <v>6580.8</v>
      </c>
      <c r="M682" s="1">
        <v>41974</v>
      </c>
      <c r="N682" s="4">
        <v>12</v>
      </c>
      <c r="O682" s="2" t="s">
        <v>41</v>
      </c>
      <c r="P682" s="4">
        <v>2014</v>
      </c>
      <c r="Q682" t="str">
        <f>IF(Table1[[#This Row],[UnitsSold]]&gt;3000,"Large",IF(Table1[[#This Row],[UnitsSold]]&gt;1500,"Midium","Small"))</f>
        <v>Small</v>
      </c>
    </row>
    <row r="683" spans="1:17" x14ac:dyDescent="0.3">
      <c r="A683" s="2" t="s">
        <v>4</v>
      </c>
      <c r="B683" s="2" t="s">
        <v>8</v>
      </c>
      <c r="C683" s="2" t="s">
        <v>70</v>
      </c>
      <c r="D683" s="2" t="s">
        <v>1078</v>
      </c>
      <c r="E683" s="4">
        <v>293</v>
      </c>
      <c r="F683" s="7" t="s">
        <v>71</v>
      </c>
      <c r="G683" s="7">
        <v>20</v>
      </c>
      <c r="H683" s="7" t="s">
        <v>1607</v>
      </c>
      <c r="I683" s="7" t="s">
        <v>1608</v>
      </c>
      <c r="J683" s="7">
        <v>4981</v>
      </c>
      <c r="K683" s="7" t="s">
        <v>1609</v>
      </c>
      <c r="L683" s="7">
        <v>2051</v>
      </c>
      <c r="M683" s="1">
        <v>41974</v>
      </c>
      <c r="N683" s="4">
        <v>12</v>
      </c>
      <c r="O683" s="2" t="s">
        <v>41</v>
      </c>
      <c r="P683" s="4">
        <v>2014</v>
      </c>
      <c r="Q683" t="str">
        <f>IF(Table1[[#This Row],[UnitsSold]]&gt;3000,"Large",IF(Table1[[#This Row],[UnitsSold]]&gt;1500,"Midium","Small"))</f>
        <v>Small</v>
      </c>
    </row>
    <row r="684" spans="1:17" x14ac:dyDescent="0.3">
      <c r="A684" s="2" t="s">
        <v>47</v>
      </c>
      <c r="B684" s="2" t="s">
        <v>9</v>
      </c>
      <c r="C684" s="2" t="s">
        <v>101</v>
      </c>
      <c r="D684" s="2" t="s">
        <v>1078</v>
      </c>
      <c r="E684" s="4">
        <v>500</v>
      </c>
      <c r="F684" s="7" t="s">
        <v>102</v>
      </c>
      <c r="G684" s="7">
        <v>12</v>
      </c>
      <c r="H684" s="7" t="s">
        <v>1610</v>
      </c>
      <c r="I684" s="7" t="s">
        <v>1611</v>
      </c>
      <c r="J684" s="7">
        <v>5100</v>
      </c>
      <c r="K684" s="7" t="s">
        <v>1612</v>
      </c>
      <c r="L684" s="7">
        <v>3600</v>
      </c>
      <c r="M684" s="1">
        <v>41699</v>
      </c>
      <c r="N684" s="4">
        <v>3</v>
      </c>
      <c r="O684" s="2" t="s">
        <v>46</v>
      </c>
      <c r="P684" s="4">
        <v>2014</v>
      </c>
      <c r="Q684" t="str">
        <f>IF(Table1[[#This Row],[UnitsSold]]&gt;3000,"Large",IF(Table1[[#This Row],[UnitsSold]]&gt;1500,"Midium","Small"))</f>
        <v>Small</v>
      </c>
    </row>
    <row r="685" spans="1:17" x14ac:dyDescent="0.3">
      <c r="A685" s="2" t="s">
        <v>7</v>
      </c>
      <c r="B685" s="2" t="s">
        <v>8</v>
      </c>
      <c r="C685" s="2" t="s">
        <v>101</v>
      </c>
      <c r="D685" s="2" t="s">
        <v>1078</v>
      </c>
      <c r="E685" s="4">
        <v>2826</v>
      </c>
      <c r="F685" s="7" t="s">
        <v>102</v>
      </c>
      <c r="G685" s="7">
        <v>15</v>
      </c>
      <c r="H685" s="7" t="s">
        <v>1613</v>
      </c>
      <c r="I685" s="7" t="s">
        <v>1614</v>
      </c>
      <c r="J685" s="7">
        <v>36031.5</v>
      </c>
      <c r="K685" s="7" t="s">
        <v>1615</v>
      </c>
      <c r="L685" s="7">
        <v>7771.5</v>
      </c>
      <c r="M685" s="1">
        <v>41760</v>
      </c>
      <c r="N685" s="4">
        <v>5</v>
      </c>
      <c r="O685" s="2" t="s">
        <v>145</v>
      </c>
      <c r="P685" s="4">
        <v>2014</v>
      </c>
      <c r="Q685" t="str">
        <f>IF(Table1[[#This Row],[UnitsSold]]&gt;3000,"Large",IF(Table1[[#This Row],[UnitsSold]]&gt;1500,"Midium","Small"))</f>
        <v>Midium</v>
      </c>
    </row>
    <row r="686" spans="1:17" x14ac:dyDescent="0.3">
      <c r="A686" s="2" t="s">
        <v>10</v>
      </c>
      <c r="B686" s="2" t="s">
        <v>8</v>
      </c>
      <c r="C686" s="2" t="s">
        <v>101</v>
      </c>
      <c r="D686" s="2" t="s">
        <v>1078</v>
      </c>
      <c r="E686" s="4">
        <v>663</v>
      </c>
      <c r="F686" s="7" t="s">
        <v>102</v>
      </c>
      <c r="G686" s="7">
        <v>125</v>
      </c>
      <c r="H686" s="7" t="s">
        <v>197</v>
      </c>
      <c r="I686" s="7" t="s">
        <v>1616</v>
      </c>
      <c r="J686" s="7">
        <v>70443.75</v>
      </c>
      <c r="K686" s="7" t="s">
        <v>199</v>
      </c>
      <c r="L686" s="7">
        <v>9116.25</v>
      </c>
      <c r="M686" s="1">
        <v>41883</v>
      </c>
      <c r="N686" s="4">
        <v>9</v>
      </c>
      <c r="O686" s="2" t="s">
        <v>63</v>
      </c>
      <c r="P686" s="4">
        <v>2014</v>
      </c>
      <c r="Q686" t="str">
        <f>IF(Table1[[#This Row],[UnitsSold]]&gt;3000,"Large",IF(Table1[[#This Row],[UnitsSold]]&gt;1500,"Midium","Small"))</f>
        <v>Small</v>
      </c>
    </row>
    <row r="687" spans="1:17" x14ac:dyDescent="0.3">
      <c r="A687" s="2" t="s">
        <v>57</v>
      </c>
      <c r="B687" s="2" t="s">
        <v>67</v>
      </c>
      <c r="C687" s="2" t="s">
        <v>101</v>
      </c>
      <c r="D687" s="2" t="s">
        <v>1078</v>
      </c>
      <c r="E687" s="4">
        <v>2574</v>
      </c>
      <c r="F687" s="7" t="s">
        <v>102</v>
      </c>
      <c r="G687" s="7">
        <v>300</v>
      </c>
      <c r="H687" s="7" t="s">
        <v>1617</v>
      </c>
      <c r="I687" s="7" t="s">
        <v>1618</v>
      </c>
      <c r="J687" s="7" t="s">
        <v>1853</v>
      </c>
      <c r="K687" s="7" t="s">
        <v>1619</v>
      </c>
      <c r="L687" s="7">
        <v>12870</v>
      </c>
      <c r="M687" s="1">
        <v>41579</v>
      </c>
      <c r="N687" s="4">
        <v>11</v>
      </c>
      <c r="O687" s="2" t="s">
        <v>94</v>
      </c>
      <c r="P687" s="4">
        <v>2013</v>
      </c>
      <c r="Q687" t="str">
        <f>IF(Table1[[#This Row],[UnitsSold]]&gt;3000,"Large",IF(Table1[[#This Row],[UnitsSold]]&gt;1500,"Midium","Small"))</f>
        <v>Midium</v>
      </c>
    </row>
    <row r="688" spans="1:17" x14ac:dyDescent="0.3">
      <c r="A688" s="2" t="s">
        <v>10</v>
      </c>
      <c r="B688" s="2" t="s">
        <v>67</v>
      </c>
      <c r="C688" s="2" t="s">
        <v>101</v>
      </c>
      <c r="D688" s="2" t="s">
        <v>1078</v>
      </c>
      <c r="E688" s="4">
        <v>2438</v>
      </c>
      <c r="F688" s="7" t="s">
        <v>102</v>
      </c>
      <c r="G688" s="7">
        <v>125</v>
      </c>
      <c r="H688" s="7" t="s">
        <v>1620</v>
      </c>
      <c r="I688" s="7" t="s">
        <v>1621</v>
      </c>
      <c r="J688" s="7" t="s">
        <v>1854</v>
      </c>
      <c r="K688" s="7" t="s">
        <v>1622</v>
      </c>
      <c r="L688" s="7">
        <v>33522.5</v>
      </c>
      <c r="M688" s="1">
        <v>41609</v>
      </c>
      <c r="N688" s="4">
        <v>12</v>
      </c>
      <c r="O688" s="2" t="s">
        <v>41</v>
      </c>
      <c r="P688" s="4">
        <v>2013</v>
      </c>
      <c r="Q688" t="str">
        <f>IF(Table1[[#This Row],[UnitsSold]]&gt;3000,"Large",IF(Table1[[#This Row],[UnitsSold]]&gt;1500,"Midium","Small"))</f>
        <v>Midium</v>
      </c>
    </row>
    <row r="689" spans="1:17" x14ac:dyDescent="0.3">
      <c r="A689" s="2" t="s">
        <v>47</v>
      </c>
      <c r="B689" s="2" t="s">
        <v>67</v>
      </c>
      <c r="C689" s="2" t="s">
        <v>101</v>
      </c>
      <c r="D689" s="2" t="s">
        <v>1078</v>
      </c>
      <c r="E689" s="4">
        <v>914</v>
      </c>
      <c r="F689" s="7" t="s">
        <v>102</v>
      </c>
      <c r="G689" s="7">
        <v>12</v>
      </c>
      <c r="H689" s="7" t="s">
        <v>1604</v>
      </c>
      <c r="I689" s="7" t="s">
        <v>1605</v>
      </c>
      <c r="J689" s="7">
        <v>9322.7999999999993</v>
      </c>
      <c r="K689" s="7" t="s">
        <v>1606</v>
      </c>
      <c r="L689" s="7">
        <v>6580.8</v>
      </c>
      <c r="M689" s="1">
        <v>41974</v>
      </c>
      <c r="N689" s="4">
        <v>12</v>
      </c>
      <c r="O689" s="2" t="s">
        <v>41</v>
      </c>
      <c r="P689" s="4">
        <v>2014</v>
      </c>
      <c r="Q689" t="str">
        <f>IF(Table1[[#This Row],[UnitsSold]]&gt;3000,"Large",IF(Table1[[#This Row],[UnitsSold]]&gt;1500,"Midium","Small"))</f>
        <v>Small</v>
      </c>
    </row>
    <row r="690" spans="1:17" x14ac:dyDescent="0.3">
      <c r="A690" s="2" t="s">
        <v>4</v>
      </c>
      <c r="B690" s="2" t="s">
        <v>5</v>
      </c>
      <c r="C690" s="2" t="s">
        <v>111</v>
      </c>
      <c r="D690" s="2" t="s">
        <v>1078</v>
      </c>
      <c r="E690" s="4">
        <v>865.5</v>
      </c>
      <c r="F690" s="7" t="s">
        <v>112</v>
      </c>
      <c r="G690" s="7">
        <v>20</v>
      </c>
      <c r="H690" s="7" t="s">
        <v>1623</v>
      </c>
      <c r="I690" s="7" t="s">
        <v>1624</v>
      </c>
      <c r="J690" s="7">
        <v>14713.5</v>
      </c>
      <c r="K690" s="7" t="s">
        <v>1524</v>
      </c>
      <c r="L690" s="7">
        <v>6058.5</v>
      </c>
      <c r="M690" s="1">
        <v>41821</v>
      </c>
      <c r="N690" s="4">
        <v>7</v>
      </c>
      <c r="O690" s="2" t="s">
        <v>56</v>
      </c>
      <c r="P690" s="4">
        <v>2014</v>
      </c>
      <c r="Q690" t="str">
        <f>IF(Table1[[#This Row],[UnitsSold]]&gt;3000,"Large",IF(Table1[[#This Row],[UnitsSold]]&gt;1500,"Midium","Small"))</f>
        <v>Small</v>
      </c>
    </row>
    <row r="691" spans="1:17" x14ac:dyDescent="0.3">
      <c r="A691" s="2" t="s">
        <v>7</v>
      </c>
      <c r="B691" s="2" t="s">
        <v>6</v>
      </c>
      <c r="C691" s="2" t="s">
        <v>111</v>
      </c>
      <c r="D691" s="2" t="s">
        <v>1078</v>
      </c>
      <c r="E691" s="4">
        <v>492</v>
      </c>
      <c r="F691" s="7" t="s">
        <v>112</v>
      </c>
      <c r="G691" s="7">
        <v>15</v>
      </c>
      <c r="H691" s="7" t="s">
        <v>1625</v>
      </c>
      <c r="I691" s="7" t="s">
        <v>1626</v>
      </c>
      <c r="J691" s="7">
        <v>6273</v>
      </c>
      <c r="K691" s="7" t="s">
        <v>1441</v>
      </c>
      <c r="L691" s="7">
        <v>1353</v>
      </c>
      <c r="M691" s="1">
        <v>41821</v>
      </c>
      <c r="N691" s="4">
        <v>7</v>
      </c>
      <c r="O691" s="2" t="s">
        <v>56</v>
      </c>
      <c r="P691" s="4">
        <v>2014</v>
      </c>
      <c r="Q691" t="str">
        <f>IF(Table1[[#This Row],[UnitsSold]]&gt;3000,"Large",IF(Table1[[#This Row],[UnitsSold]]&gt;1500,"Midium","Small"))</f>
        <v>Small</v>
      </c>
    </row>
    <row r="692" spans="1:17" x14ac:dyDescent="0.3">
      <c r="A692" s="2" t="s">
        <v>4</v>
      </c>
      <c r="B692" s="2" t="s">
        <v>67</v>
      </c>
      <c r="C692" s="2" t="s">
        <v>111</v>
      </c>
      <c r="D692" s="2" t="s">
        <v>1078</v>
      </c>
      <c r="E692" s="4">
        <v>267</v>
      </c>
      <c r="F692" s="7" t="s">
        <v>112</v>
      </c>
      <c r="G692" s="7">
        <v>20</v>
      </c>
      <c r="H692" s="7" t="s">
        <v>1593</v>
      </c>
      <c r="I692" s="7" t="s">
        <v>1481</v>
      </c>
      <c r="J692" s="7">
        <v>4539</v>
      </c>
      <c r="K692" s="7" t="s">
        <v>1594</v>
      </c>
      <c r="L692" s="7">
        <v>1869</v>
      </c>
      <c r="M692" s="1">
        <v>41548</v>
      </c>
      <c r="N692" s="4">
        <v>10</v>
      </c>
      <c r="O692" s="2" t="s">
        <v>66</v>
      </c>
      <c r="P692" s="4">
        <v>2013</v>
      </c>
      <c r="Q692" t="str">
        <f>IF(Table1[[#This Row],[UnitsSold]]&gt;3000,"Large",IF(Table1[[#This Row],[UnitsSold]]&gt;1500,"Midium","Small"))</f>
        <v>Small</v>
      </c>
    </row>
    <row r="693" spans="1:17" x14ac:dyDescent="0.3">
      <c r="A693" s="2" t="s">
        <v>7</v>
      </c>
      <c r="B693" s="2" t="s">
        <v>6</v>
      </c>
      <c r="C693" s="2" t="s">
        <v>111</v>
      </c>
      <c r="D693" s="2" t="s">
        <v>1078</v>
      </c>
      <c r="E693" s="4">
        <v>1175</v>
      </c>
      <c r="F693" s="7" t="s">
        <v>112</v>
      </c>
      <c r="G693" s="7">
        <v>15</v>
      </c>
      <c r="H693" s="7" t="s">
        <v>1595</v>
      </c>
      <c r="I693" s="7" t="s">
        <v>1596</v>
      </c>
      <c r="J693" s="7">
        <v>14981.25</v>
      </c>
      <c r="K693" s="7" t="s">
        <v>1597</v>
      </c>
      <c r="L693" s="7">
        <v>3231.25</v>
      </c>
      <c r="M693" s="1">
        <v>41913</v>
      </c>
      <c r="N693" s="4">
        <v>10</v>
      </c>
      <c r="O693" s="2" t="s">
        <v>66</v>
      </c>
      <c r="P693" s="4">
        <v>2014</v>
      </c>
      <c r="Q693" t="str">
        <f>IF(Table1[[#This Row],[UnitsSold]]&gt;3000,"Large",IF(Table1[[#This Row],[UnitsSold]]&gt;1500,"Midium","Small"))</f>
        <v>Small</v>
      </c>
    </row>
    <row r="694" spans="1:17" x14ac:dyDescent="0.3">
      <c r="A694" s="2" t="s">
        <v>10</v>
      </c>
      <c r="B694" s="2" t="s">
        <v>5</v>
      </c>
      <c r="C694" s="2" t="s">
        <v>111</v>
      </c>
      <c r="D694" s="2" t="s">
        <v>1078</v>
      </c>
      <c r="E694" s="4">
        <v>2954</v>
      </c>
      <c r="F694" s="7" t="s">
        <v>112</v>
      </c>
      <c r="G694" s="7">
        <v>125</v>
      </c>
      <c r="H694" s="7" t="s">
        <v>1627</v>
      </c>
      <c r="I694" s="7" t="s">
        <v>1628</v>
      </c>
      <c r="J694" s="7" t="s">
        <v>1855</v>
      </c>
      <c r="K694" s="7" t="s">
        <v>1629</v>
      </c>
      <c r="L694" s="7">
        <v>40617.5</v>
      </c>
      <c r="M694" s="1">
        <v>41579</v>
      </c>
      <c r="N694" s="4">
        <v>11</v>
      </c>
      <c r="O694" s="2" t="s">
        <v>94</v>
      </c>
      <c r="P694" s="4">
        <v>2013</v>
      </c>
      <c r="Q694" t="str">
        <f>IF(Table1[[#This Row],[UnitsSold]]&gt;3000,"Large",IF(Table1[[#This Row],[UnitsSold]]&gt;1500,"Midium","Small"))</f>
        <v>Midium</v>
      </c>
    </row>
    <row r="695" spans="1:17" x14ac:dyDescent="0.3">
      <c r="A695" s="2" t="s">
        <v>10</v>
      </c>
      <c r="B695" s="2" t="s">
        <v>6</v>
      </c>
      <c r="C695" s="2" t="s">
        <v>111</v>
      </c>
      <c r="D695" s="2" t="s">
        <v>1078</v>
      </c>
      <c r="E695" s="4">
        <v>552</v>
      </c>
      <c r="F695" s="7" t="s">
        <v>112</v>
      </c>
      <c r="G695" s="7">
        <v>125</v>
      </c>
      <c r="H695" s="7" t="s">
        <v>1630</v>
      </c>
      <c r="I695" s="7" t="s">
        <v>1631</v>
      </c>
      <c r="J695" s="7">
        <v>58650</v>
      </c>
      <c r="K695" s="7" t="s">
        <v>1632</v>
      </c>
      <c r="L695" s="7">
        <v>7590</v>
      </c>
      <c r="M695" s="1">
        <v>41944</v>
      </c>
      <c r="N695" s="4">
        <v>11</v>
      </c>
      <c r="O695" s="2" t="s">
        <v>94</v>
      </c>
      <c r="P695" s="4">
        <v>2014</v>
      </c>
      <c r="Q695" t="str">
        <f>IF(Table1[[#This Row],[UnitsSold]]&gt;3000,"Large",IF(Table1[[#This Row],[UnitsSold]]&gt;1500,"Midium","Small"))</f>
        <v>Small</v>
      </c>
    </row>
    <row r="696" spans="1:17" x14ac:dyDescent="0.3">
      <c r="A696" s="2" t="s">
        <v>4</v>
      </c>
      <c r="B696" s="2" t="s">
        <v>8</v>
      </c>
      <c r="C696" s="2" t="s">
        <v>111</v>
      </c>
      <c r="D696" s="2" t="s">
        <v>1078</v>
      </c>
      <c r="E696" s="4">
        <v>293</v>
      </c>
      <c r="F696" s="7" t="s">
        <v>112</v>
      </c>
      <c r="G696" s="7">
        <v>20</v>
      </c>
      <c r="H696" s="7" t="s">
        <v>1607</v>
      </c>
      <c r="I696" s="7" t="s">
        <v>1608</v>
      </c>
      <c r="J696" s="7">
        <v>4981</v>
      </c>
      <c r="K696" s="7" t="s">
        <v>1609</v>
      </c>
      <c r="L696" s="7">
        <v>2051</v>
      </c>
      <c r="M696" s="1">
        <v>41974</v>
      </c>
      <c r="N696" s="4">
        <v>12</v>
      </c>
      <c r="O696" s="2" t="s">
        <v>41</v>
      </c>
      <c r="P696" s="4">
        <v>2014</v>
      </c>
      <c r="Q696" t="str">
        <f>IF(Table1[[#This Row],[UnitsSold]]&gt;3000,"Large",IF(Table1[[#This Row],[UnitsSold]]&gt;1500,"Midium","Small"))</f>
        <v>Small</v>
      </c>
    </row>
    <row r="697" spans="1:17" x14ac:dyDescent="0.3">
      <c r="A697" s="2" t="s">
        <v>57</v>
      </c>
      <c r="B697" s="2" t="s">
        <v>8</v>
      </c>
      <c r="C697" s="2" t="s">
        <v>122</v>
      </c>
      <c r="D697" s="2" t="s">
        <v>1078</v>
      </c>
      <c r="E697" s="4">
        <v>2475</v>
      </c>
      <c r="F697" s="7" t="s">
        <v>123</v>
      </c>
      <c r="G697" s="7">
        <v>300</v>
      </c>
      <c r="H697" s="7" t="s">
        <v>1633</v>
      </c>
      <c r="I697" s="7" t="s">
        <v>1634</v>
      </c>
      <c r="J697" s="7" t="s">
        <v>1856</v>
      </c>
      <c r="K697" s="7" t="s">
        <v>1635</v>
      </c>
      <c r="L697" s="7">
        <v>12375</v>
      </c>
      <c r="M697" s="1">
        <v>41699</v>
      </c>
      <c r="N697" s="4">
        <v>3</v>
      </c>
      <c r="O697" s="2" t="s">
        <v>46</v>
      </c>
      <c r="P697" s="4">
        <v>2014</v>
      </c>
      <c r="Q697" t="str">
        <f>IF(Table1[[#This Row],[UnitsSold]]&gt;3000,"Large",IF(Table1[[#This Row],[UnitsSold]]&gt;1500,"Midium","Small"))</f>
        <v>Midium</v>
      </c>
    </row>
    <row r="698" spans="1:17" x14ac:dyDescent="0.3">
      <c r="A698" s="2" t="s">
        <v>57</v>
      </c>
      <c r="B698" s="2" t="s">
        <v>9</v>
      </c>
      <c r="C698" s="2" t="s">
        <v>122</v>
      </c>
      <c r="D698" s="2" t="s">
        <v>1078</v>
      </c>
      <c r="E698" s="4">
        <v>546</v>
      </c>
      <c r="F698" s="7" t="s">
        <v>123</v>
      </c>
      <c r="G698" s="7">
        <v>300</v>
      </c>
      <c r="H698" s="7" t="s">
        <v>1576</v>
      </c>
      <c r="I698" s="7" t="s">
        <v>1577</v>
      </c>
      <c r="J698" s="7" t="s">
        <v>1849</v>
      </c>
      <c r="K698" s="7" t="s">
        <v>1578</v>
      </c>
      <c r="L698" s="7">
        <v>2730</v>
      </c>
      <c r="M698" s="1">
        <v>41913</v>
      </c>
      <c r="N698" s="4">
        <v>10</v>
      </c>
      <c r="O698" s="2" t="s">
        <v>66</v>
      </c>
      <c r="P698" s="4">
        <v>2014</v>
      </c>
      <c r="Q698" t="str">
        <f>IF(Table1[[#This Row],[UnitsSold]]&gt;3000,"Large",IF(Table1[[#This Row],[UnitsSold]]&gt;1500,"Midium","Small"))</f>
        <v>Small</v>
      </c>
    </row>
    <row r="699" spans="1:17" x14ac:dyDescent="0.3">
      <c r="A699" s="2" t="s">
        <v>4</v>
      </c>
      <c r="B699" s="2" t="s">
        <v>9</v>
      </c>
      <c r="C699" s="2" t="s">
        <v>42</v>
      </c>
      <c r="D699" s="2" t="s">
        <v>1078</v>
      </c>
      <c r="E699" s="4">
        <v>1368</v>
      </c>
      <c r="F699" s="7" t="s">
        <v>43</v>
      </c>
      <c r="G699" s="7">
        <v>7</v>
      </c>
      <c r="H699" s="7" t="s">
        <v>1636</v>
      </c>
      <c r="I699" s="7" t="s">
        <v>1637</v>
      </c>
      <c r="J699" s="7">
        <v>8139.6</v>
      </c>
      <c r="K699" s="7" t="s">
        <v>1638</v>
      </c>
      <c r="L699" s="7">
        <v>1299.5999999999999</v>
      </c>
      <c r="M699" s="1">
        <v>41671</v>
      </c>
      <c r="N699" s="4">
        <v>2</v>
      </c>
      <c r="O699" s="2" t="s">
        <v>74</v>
      </c>
      <c r="P699" s="4">
        <v>2014</v>
      </c>
      <c r="Q699" t="str">
        <f>IF(Table1[[#This Row],[UnitsSold]]&gt;3000,"Large",IF(Table1[[#This Row],[UnitsSold]]&gt;1500,"Midium","Small"))</f>
        <v>Small</v>
      </c>
    </row>
    <row r="700" spans="1:17" x14ac:dyDescent="0.3">
      <c r="A700" s="2" t="s">
        <v>4</v>
      </c>
      <c r="B700" s="2" t="s">
        <v>5</v>
      </c>
      <c r="C700" s="2" t="s">
        <v>70</v>
      </c>
      <c r="D700" s="2" t="s">
        <v>1078</v>
      </c>
      <c r="E700" s="4">
        <v>723</v>
      </c>
      <c r="F700" s="7" t="s">
        <v>71</v>
      </c>
      <c r="G700" s="7">
        <v>7</v>
      </c>
      <c r="H700" s="7" t="s">
        <v>1639</v>
      </c>
      <c r="I700" s="7" t="s">
        <v>1640</v>
      </c>
      <c r="J700" s="7">
        <v>4301.8500000000004</v>
      </c>
      <c r="K700" s="7" t="s">
        <v>1641</v>
      </c>
      <c r="L700" s="7">
        <v>686.85</v>
      </c>
      <c r="M700" s="1">
        <v>41730</v>
      </c>
      <c r="N700" s="4">
        <v>4</v>
      </c>
      <c r="O700" s="2" t="s">
        <v>117</v>
      </c>
      <c r="P700" s="4">
        <v>2014</v>
      </c>
      <c r="Q700" t="str">
        <f>IF(Table1[[#This Row],[UnitsSold]]&gt;3000,"Large",IF(Table1[[#This Row],[UnitsSold]]&gt;1500,"Midium","Small"))</f>
        <v>Small</v>
      </c>
    </row>
    <row r="701" spans="1:17" x14ac:dyDescent="0.3">
      <c r="A701" s="2" t="s">
        <v>47</v>
      </c>
      <c r="B701" s="2" t="s">
        <v>67</v>
      </c>
      <c r="C701" s="2" t="s">
        <v>111</v>
      </c>
      <c r="D701" s="2" t="s">
        <v>1078</v>
      </c>
      <c r="E701" s="4">
        <v>1806</v>
      </c>
      <c r="F701" s="7" t="s">
        <v>112</v>
      </c>
      <c r="G701" s="7">
        <v>12</v>
      </c>
      <c r="H701" s="7" t="s">
        <v>1642</v>
      </c>
      <c r="I701" s="7" t="s">
        <v>1643</v>
      </c>
      <c r="J701" s="7">
        <v>18421.2</v>
      </c>
      <c r="K701" s="7" t="s">
        <v>868</v>
      </c>
      <c r="L701" s="7">
        <v>13003.2</v>
      </c>
      <c r="M701" s="1">
        <v>41760</v>
      </c>
      <c r="N701" s="4">
        <v>5</v>
      </c>
      <c r="O701" s="2" t="s">
        <v>145</v>
      </c>
      <c r="P701" s="4">
        <v>2014</v>
      </c>
      <c r="Q701" t="str">
        <f>IF(Table1[[#This Row],[UnitsSold]]&gt;3000,"Large",IF(Table1[[#This Row],[UnitsSold]]&gt;1500,"Midium","Small"))</f>
        <v>Midium</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Financials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nexora Technology</dc:creator>
  <cp:lastModifiedBy>Yousif badr</cp:lastModifiedBy>
  <dcterms:created xsi:type="dcterms:W3CDTF">2026-06-03T16:41:08Z</dcterms:created>
  <dcterms:modified xsi:type="dcterms:W3CDTF">2026-06-03T16:41:09Z</dcterms:modified>
</cp:coreProperties>
</file>